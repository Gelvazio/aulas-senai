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LONOS" sheetId="2" state="visible" r:id="rId2"/>
    <sheet xmlns:r="http://schemas.openxmlformats.org/officeDocument/2006/relationships" name="AGENDAMENTOS" sheetId="3" state="visible" r:id="rId3"/>
    <sheet xmlns:r="http://schemas.openxmlformats.org/officeDocument/2006/relationships" name="RECEBIMENTO" sheetId="4" state="visible" r:id="rId4"/>
    <sheet xmlns:r="http://schemas.openxmlformats.org/officeDocument/2006/relationships" name="ABATE" sheetId="5" state="visible" r:id="rId5"/>
    <sheet xmlns:r="http://schemas.openxmlformats.org/officeDocument/2006/relationships" name="RELATORIO_DIARIO" sheetId="6" state="visible" r:id="rId6"/>
    <sheet xmlns:r="http://schemas.openxmlformats.org/officeDocument/2006/relationships" name="LEGENDA" sheetId="7" state="visible" r:id="rId7"/>
  </sheets>
  <definedNames>
    <definedName name="_xlnm._FilterDatabase" localSheetId="1" hidden="1">'COLONOS'!$A$4:$K$4</definedName>
    <definedName name="_xlnm._FilterDatabase" localSheetId="2" hidden="1">'AGENDAMENTOS'!$A$4:$M$4</definedName>
    <definedName name="_xlnm._FilterDatabase" localSheetId="3" hidden="1">'RECEBIMENTO'!$A$4:$P$4</definedName>
    <definedName name="_xlnm._FilterDatabase" localSheetId="4" hidden="1">'ABATE'!$A$4:$P$4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yyyy-mm-dd"/>
    <numFmt numFmtId="166" formatCode="DD/MM/YYYY"/>
    <numFmt numFmtId="167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8B0000"/>
      <sz val="22"/>
    </font>
    <font>
      <name val="Arial"/>
      <b val="1"/>
      <color rgb="001565C8"/>
      <sz val="22"/>
    </font>
    <font>
      <name val="Arial"/>
      <b val="1"/>
      <color rgb="0027AE60"/>
      <sz val="22"/>
    </font>
    <font>
      <name val="Arial"/>
      <b val="1"/>
      <color rgb="00C0392B"/>
      <sz val="22"/>
    </font>
    <font>
      <name val="Arial"/>
      <b val="1"/>
      <color rgb="00FF6F00"/>
      <sz val="22"/>
    </font>
    <font>
      <name val="Arial"/>
      <b val="1"/>
      <color rgb="006D4C41"/>
      <sz val="2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7B6000"/>
      <sz val="9"/>
    </font>
    <font>
      <name val="Arial"/>
      <b val="1"/>
      <color rgb="007B6000"/>
      <sz val="13"/>
    </font>
    <font>
      <name val="Arial"/>
      <color rgb="00555555"/>
      <sz val="9"/>
    </font>
    <font>
      <name val="Arial"/>
      <b val="1"/>
      <color rgb="008B0000"/>
      <sz val="11"/>
    </font>
    <font>
      <name val="Arial"/>
      <i val="1"/>
      <color rgb="00777777"/>
      <sz val="9"/>
    </font>
    <font>
      <name val="Arial"/>
      <color rgb="00FFFFFF"/>
      <sz val="10"/>
    </font>
    <font>
      <name val="Arial"/>
      <b val="1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1565C8"/>
      </patternFill>
    </fill>
    <fill>
      <patternFill patternType="solid">
        <fgColor rgb="0027AE60"/>
      </patternFill>
    </fill>
    <fill>
      <patternFill patternType="solid">
        <fgColor rgb="00FF6F00"/>
      </patternFill>
    </fill>
    <fill>
      <patternFill patternType="solid">
        <fgColor rgb="006D4C41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F2F2F2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10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medium">
        <color rgb="00888888"/>
      </left>
      <right/>
      <top/>
      <bottom/>
      <diagonal/>
    </border>
    <border>
      <left/>
      <right style="medium">
        <color rgb="00888888"/>
      </right>
      <top/>
      <bottom/>
      <diagonal/>
    </border>
    <border>
      <left style="medium">
        <color rgb="00888888"/>
      </left>
      <right/>
      <top/>
      <bottom style="medium">
        <color rgb="00888888"/>
      </bottom>
      <diagonal/>
    </border>
    <border>
      <left/>
      <right style="medium">
        <color rgb="00888888"/>
      </right>
      <top/>
      <bottom style="medium">
        <color rgb="00888888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9" borderId="0" applyAlignment="1" pivotButton="0" quotePrefix="0" xfId="0">
      <alignment horizontal="center" vertical="center"/>
    </xf>
    <xf numFmtId="0" fontId="10" fillId="10" borderId="9" applyAlignment="1" pivotButton="0" quotePrefix="0" xfId="0">
      <alignment horizontal="center" vertical="center"/>
    </xf>
    <xf numFmtId="0" fontId="10" fillId="5" borderId="9" applyAlignment="1" pivotButton="0" quotePrefix="0" xfId="0">
      <alignment horizontal="center" vertical="center"/>
    </xf>
    <xf numFmtId="0" fontId="11" fillId="11" borderId="9" applyAlignment="1" pivotButton="0" quotePrefix="0" xfId="0">
      <alignment horizontal="center" vertical="center"/>
    </xf>
    <xf numFmtId="164" fontId="11" fillId="11" borderId="9" applyAlignment="1" pivotButton="0" quotePrefix="0" xfId="0">
      <alignment horizontal="center" vertical="center"/>
    </xf>
    <xf numFmtId="0" fontId="10" fillId="12" borderId="9" applyAlignment="1" pivotButton="0" quotePrefix="0" xfId="0">
      <alignment horizontal="center" vertical="center"/>
    </xf>
    <xf numFmtId="0" fontId="10" fillId="6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0" fontId="10" fillId="3" borderId="9" applyAlignment="1" pivotButton="0" quotePrefix="0" xfId="0">
      <alignment horizontal="center" vertical="center"/>
    </xf>
    <xf numFmtId="0" fontId="10" fillId="14" borderId="9" applyAlignment="1" pivotButton="0" quotePrefix="0" xfId="0">
      <alignment horizontal="center" vertical="center"/>
    </xf>
    <xf numFmtId="0" fontId="10" fillId="15" borderId="9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 wrapText="1"/>
    </xf>
    <xf numFmtId="0" fontId="11" fillId="16" borderId="9" applyAlignment="1" pivotButton="0" quotePrefix="0" xfId="0">
      <alignment horizontal="left" vertical="center"/>
    </xf>
    <xf numFmtId="0" fontId="0" fillId="16" borderId="9" pivotButton="0" quotePrefix="0" xfId="0"/>
    <xf numFmtId="166" fontId="11" fillId="16" borderId="9" applyAlignment="1" pivotButton="0" quotePrefix="0" xfId="0">
      <alignment horizontal="left" vertical="center"/>
    </xf>
    <xf numFmtId="164" fontId="11" fillId="16" borderId="9" applyAlignment="1" pivotButton="0" quotePrefix="0" xfId="0">
      <alignment horizontal="left" vertical="center"/>
    </xf>
    <xf numFmtId="164" fontId="11" fillId="17" borderId="9" applyAlignment="1" pivotButton="0" quotePrefix="0" xfId="0">
      <alignment horizontal="left" vertical="center"/>
    </xf>
    <xf numFmtId="0" fontId="10" fillId="5" borderId="9" applyAlignment="1" pivotButton="0" quotePrefix="0" xfId="0">
      <alignment horizontal="center" vertical="center"/>
    </xf>
    <xf numFmtId="0" fontId="10" fillId="12" borderId="9" applyAlignment="1" pivotButton="0" quotePrefix="0" xfId="0">
      <alignment horizontal="center" vertical="center"/>
    </xf>
    <xf numFmtId="0" fontId="11" fillId="16" borderId="9" pivotButton="0" quotePrefix="0" xfId="0"/>
    <xf numFmtId="164" fontId="11" fillId="17" borderId="9" pivotButton="0" quotePrefix="0" xfId="0"/>
    <xf numFmtId="0" fontId="10" fillId="13" borderId="9" applyAlignment="1" pivotButton="0" quotePrefix="0" xfId="0">
      <alignment horizontal="center" vertical="center"/>
    </xf>
    <xf numFmtId="167" fontId="11" fillId="17" borderId="9" applyAlignment="1" pivotButton="0" quotePrefix="0" xfId="0">
      <alignment horizontal="left" vertical="center"/>
    </xf>
    <xf numFmtId="167" fontId="11" fillId="17" borderId="9" pivotButton="0" quotePrefix="0" xfId="0"/>
    <xf numFmtId="0" fontId="2" fillId="9" borderId="0" applyAlignment="1" pivotButton="0" quotePrefix="0" xfId="0">
      <alignment horizontal="right" vertical="center"/>
    </xf>
    <xf numFmtId="166" fontId="13" fillId="16" borderId="1" applyAlignment="1" pivotButton="0" quotePrefix="0" xfId="0">
      <alignment horizontal="center" vertical="center"/>
    </xf>
    <xf numFmtId="0" fontId="14" fillId="0" borderId="0" pivotButton="0" quotePrefix="0" xfId="0"/>
    <xf numFmtId="0" fontId="10" fillId="10" borderId="9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/>
    </xf>
    <xf numFmtId="0" fontId="10" fillId="2" borderId="9" applyAlignment="1" pivotButton="0" quotePrefix="0" xfId="0">
      <alignment horizontal="left" vertical="center" wrapText="1"/>
    </xf>
    <xf numFmtId="0" fontId="17" fillId="10" borderId="9" applyAlignment="1" pivotButton="0" quotePrefix="0" xfId="0">
      <alignment horizontal="center" vertical="center" wrapText="1"/>
    </xf>
    <xf numFmtId="0" fontId="17" fillId="10" borderId="9" applyAlignment="1" pivotButton="0" quotePrefix="0" xfId="0">
      <alignment horizontal="left" vertical="center" wrapText="1"/>
    </xf>
    <xf numFmtId="0" fontId="17" fillId="9" borderId="9" applyAlignment="1" pivotButton="0" quotePrefix="0" xfId="0">
      <alignment horizontal="center" vertical="center" wrapText="1"/>
    </xf>
    <xf numFmtId="0" fontId="17" fillId="9" borderId="9" applyAlignment="1" pivotButton="0" quotePrefix="0" xfId="0">
      <alignment horizontal="left" vertical="center" wrapText="1"/>
    </xf>
    <xf numFmtId="0" fontId="17" fillId="5" borderId="9" applyAlignment="1" pivotButton="0" quotePrefix="0" xfId="0">
      <alignment horizontal="center" vertical="center" wrapText="1"/>
    </xf>
    <xf numFmtId="0" fontId="17" fillId="5" borderId="9" applyAlignment="1" pivotButton="0" quotePrefix="0" xfId="0">
      <alignment horizontal="left" vertical="center" wrapText="1"/>
    </xf>
    <xf numFmtId="0" fontId="17" fillId="6" borderId="9" applyAlignment="1" pivotButton="0" quotePrefix="0" xfId="0">
      <alignment horizontal="center" vertical="center" wrapText="1"/>
    </xf>
    <xf numFmtId="0" fontId="17" fillId="6" borderId="9" applyAlignment="1" pivotButton="0" quotePrefix="0" xfId="0">
      <alignment horizontal="left" vertical="center" wrapText="1"/>
    </xf>
    <xf numFmtId="0" fontId="17" fillId="3" borderId="9" applyAlignment="1" pivotButton="0" quotePrefix="0" xfId="0">
      <alignment horizontal="center" vertical="center" wrapText="1"/>
    </xf>
    <xf numFmtId="0" fontId="17" fillId="3" borderId="9" applyAlignment="1" pivotButton="0" quotePrefix="0" xfId="0">
      <alignment horizontal="left" vertical="center" wrapText="1"/>
    </xf>
    <xf numFmtId="0" fontId="17" fillId="13" borderId="9" applyAlignment="1" pivotButton="0" quotePrefix="0" xfId="0">
      <alignment horizontal="center" vertical="center" wrapText="1"/>
    </xf>
    <xf numFmtId="0" fontId="17" fillId="13" borderId="9" applyAlignment="1" pivotButton="0" quotePrefix="0" xfId="0">
      <alignment horizontal="left" vertical="center" wrapText="1"/>
    </xf>
    <xf numFmtId="0" fontId="11" fillId="11" borderId="9" applyAlignment="1" pivotButton="0" quotePrefix="0" xfId="0">
      <alignment horizontal="left" vertical="center"/>
    </xf>
    <xf numFmtId="0" fontId="18" fillId="16" borderId="9" applyAlignment="1" pivotButton="0" quotePrefix="0" xfId="0">
      <alignment horizontal="center" vertical="center"/>
    </xf>
    <xf numFmtId="0" fontId="18" fillId="17" borderId="9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6" customHeight="1">
      <c r="A1" s="1" t="inlineStr">
        <is>
          <t>CONTROLE DE ABATE DE SUÍNOS — PAMPLONA</t>
        </is>
      </c>
    </row>
    <row r="2" ht="22" customHeight="1">
      <c r="A2" s="2" t="inlineStr">
        <is>
          <t>Presidente Getúlio / SC  |  Atualizado em: 13/08/2026</t>
        </is>
      </c>
    </row>
    <row r="4" ht="26" customHeight="1">
      <c r="A4" s="3" t="inlineStr">
        <is>
          <t>COLONOS CADASTRADOS</t>
        </is>
      </c>
      <c r="B4" s="4" t="n"/>
      <c r="C4" s="5" t="inlineStr">
        <is>
          <t>AGENDAMENTOS ATIVOS</t>
        </is>
      </c>
      <c r="D4" s="4" t="n"/>
      <c r="E4" s="6" t="inlineStr">
        <is>
          <t>RECEBIDOS / AGUARDANDO</t>
        </is>
      </c>
      <c r="F4" s="4" t="n"/>
      <c r="G4" s="7" t="inlineStr">
        <is>
          <t>ABATIDOS HOJE</t>
        </is>
      </c>
      <c r="H4" s="4" t="n"/>
      <c r="I4" s="8" t="inlineStr">
        <is>
          <t>ABATIDOS NO MÊS</t>
        </is>
      </c>
      <c r="J4" s="4" t="n"/>
      <c r="K4" s="9" t="inlineStr">
        <is>
          <t>PESO TOTAL MÊS (kg)</t>
        </is>
      </c>
      <c r="L4" s="4" t="n"/>
    </row>
    <row r="5" ht="40" customHeight="1">
      <c r="A5" s="10">
        <f>COUNTA(COLONOS!B5:B200)-1</f>
        <v/>
      </c>
      <c r="B5" s="11" t="n"/>
      <c r="C5" s="12">
        <f>COUNTIF(AGENDAMENTOS!J5:J200,"AGENDADO")</f>
        <v/>
      </c>
      <c r="D5" s="11" t="n"/>
      <c r="E5" s="13">
        <f>COUNTIF(RECEBIMENTO!N5:N200,"EM DESCANSO")</f>
        <v/>
      </c>
      <c r="F5" s="11" t="n"/>
      <c r="G5" s="14">
        <f>SUMPRODUCT((ABATE!D5:D200=TODAY())*(ABATE!G5:G200))</f>
        <v/>
      </c>
      <c r="H5" s="11" t="n"/>
      <c r="I5" s="15">
        <f>SUMPRODUCT((MONTH(ABATE!D5:D200)=MONTH(TODAY()))*(YEAR(ABATE!D5:D200)=YEAR(TODAY()))*ABATE!G5:G200)</f>
        <v/>
      </c>
      <c r="J5" s="11" t="n"/>
      <c r="K5" s="16">
        <f>SUMPRODUCT((MONTH(ABATE!D5:D200)=MONTH(TODAY()))*(YEAR(ABATE!D5:D200)=YEAR(TODAY()))*ABATE!H5:H200)</f>
        <v/>
      </c>
      <c r="L5" s="11" t="n"/>
    </row>
    <row r="6" ht="40" customHeight="1">
      <c r="A6" s="17" t="n"/>
      <c r="B6" s="18" t="n"/>
      <c r="C6" s="17" t="n"/>
      <c r="D6" s="18" t="n"/>
      <c r="E6" s="17" t="n"/>
      <c r="F6" s="18" t="n"/>
      <c r="G6" s="17" t="n"/>
      <c r="H6" s="18" t="n"/>
      <c r="I6" s="17" t="n"/>
      <c r="J6" s="18" t="n"/>
      <c r="K6" s="17" t="n"/>
      <c r="L6" s="18" t="n"/>
    </row>
    <row r="8" ht="24" customHeight="1">
      <c r="A8" s="19" t="inlineStr">
        <is>
          <t>SITUAÇÃO DOS LOTES — TODOS OS STATUS</t>
        </is>
      </c>
    </row>
    <row r="9" ht="24" customHeight="1">
      <c r="A9" s="20" t="inlineStr">
        <is>
          <t>STATUS</t>
        </is>
      </c>
      <c r="C9" s="20" t="inlineStr">
        <is>
          <t>QTD LOTES</t>
        </is>
      </c>
      <c r="E9" s="20" t="inlineStr">
        <is>
          <t>QTD ANIMAIS</t>
        </is>
      </c>
      <c r="G9" s="20" t="inlineStr">
        <is>
          <t>PESO TOTAL (kg)</t>
        </is>
      </c>
    </row>
    <row r="10" ht="20" customHeight="1">
      <c r="A10" s="21" t="inlineStr">
        <is>
          <t>AGENDADO</t>
        </is>
      </c>
      <c r="C10" s="22">
        <f>COUNTIF(AGENDAMENTOS!J5:J200,"AGENDADO")+COUNTIF(RECEBIMENTO!N5:N200,"AGENDADO")+COUNTIF(ABATE!K5:K200,"AGENDADO")</f>
        <v/>
      </c>
      <c r="E10" s="22">
        <f>SUMIF(AGENDAMENTOS!J5:J200,"AGENDADO",AGENDAMENTOS!G5:G200)+SUMIF(RECEBIMENTO!N5:N200,"AGENDADO",RECEBIMENTO!F5:F200)+SUMIF(ABATE!K5:K200,"AGENDADO",ABATE!G5:G200)</f>
        <v/>
      </c>
      <c r="G10" s="23">
        <f>SUMIF(ABATE!K5:K200,"AGENDADO",ABATE!H5:H200)</f>
        <v/>
      </c>
    </row>
    <row r="11" ht="20" customHeight="1">
      <c r="A11" s="24" t="inlineStr">
        <is>
          <t>EM TRÂNSITO</t>
        </is>
      </c>
      <c r="C11" s="22">
        <f>COUNTIF(AGENDAMENTOS!J5:J200,"EM TRÂNSITO")+COUNTIF(RECEBIMENTO!N5:N200,"EM TRÂNSITO")+COUNTIF(ABATE!K5:K200,"EM TRÂNSITO")</f>
        <v/>
      </c>
      <c r="E11" s="22">
        <f>SUMIF(AGENDAMENTOS!J5:J200,"EM TRÂNSITO",AGENDAMENTOS!G5:G200)+SUMIF(RECEBIMENTO!N5:N200,"EM TRÂNSITO",RECEBIMENTO!F5:F200)+SUMIF(ABATE!K5:K200,"EM TRÂNSITO",ABATE!G5:G200)</f>
        <v/>
      </c>
      <c r="G11" s="23">
        <f>SUMIF(ABATE!K5:K200,"EM TRÂNSITO",ABATE!H5:H200)</f>
        <v/>
      </c>
    </row>
    <row r="12" ht="20" customHeight="1">
      <c r="A12" s="25" t="inlineStr">
        <is>
          <t>RECEBIDO</t>
        </is>
      </c>
      <c r="C12" s="22">
        <f>COUNTIF(AGENDAMENTOS!J5:J200,"RECEBIDO")+COUNTIF(RECEBIMENTO!N5:N200,"RECEBIDO")+COUNTIF(ABATE!K5:K200,"RECEBIDO")</f>
        <v/>
      </c>
      <c r="E12" s="22">
        <f>SUMIF(AGENDAMENTOS!J5:J200,"RECEBIDO",AGENDAMENTOS!G5:G200)+SUMIF(RECEBIMENTO!N5:N200,"RECEBIDO",RECEBIMENTO!F5:F200)+SUMIF(ABATE!K5:K200,"RECEBIDO",ABATE!G5:G200)</f>
        <v/>
      </c>
      <c r="G12" s="23">
        <f>SUMIF(ABATE!K5:K200,"RECEBIDO",ABATE!H5:H200)</f>
        <v/>
      </c>
    </row>
    <row r="13" ht="20" customHeight="1">
      <c r="A13" s="26" t="inlineStr">
        <is>
          <t>EM DESCANSO</t>
        </is>
      </c>
      <c r="C13" s="22">
        <f>COUNTIF(AGENDAMENTOS!J5:J200,"EM DESCANSO")+COUNTIF(RECEBIMENTO!N5:N200,"EM DESCANSO")+COUNTIF(ABATE!K5:K200,"EM DESCANSO")</f>
        <v/>
      </c>
      <c r="E13" s="22">
        <f>SUMIF(AGENDAMENTOS!J5:J200,"EM DESCANSO",AGENDAMENTOS!G5:G200)+SUMIF(RECEBIMENTO!N5:N200,"EM DESCANSO",RECEBIMENTO!F5:F200)+SUMIF(ABATE!K5:K200,"EM DESCANSO",ABATE!G5:G200)</f>
        <v/>
      </c>
      <c r="G13" s="23">
        <f>SUMIF(ABATE!K5:K200,"EM DESCANSO",ABATE!H5:H200)</f>
        <v/>
      </c>
    </row>
    <row r="14" ht="20" customHeight="1">
      <c r="A14" s="27" t="inlineStr">
        <is>
          <t>EM ABATE</t>
        </is>
      </c>
      <c r="C14" s="22">
        <f>COUNTIF(AGENDAMENTOS!J5:J200,"EM ABATE")+COUNTIF(RECEBIMENTO!N5:N200,"EM ABATE")+COUNTIF(ABATE!K5:K200,"EM ABATE")</f>
        <v/>
      </c>
      <c r="E14" s="22">
        <f>SUMIF(AGENDAMENTOS!J5:J200,"EM ABATE",AGENDAMENTOS!G5:G200)+SUMIF(RECEBIMENTO!N5:N200,"EM ABATE",RECEBIMENTO!F5:F200)+SUMIF(ABATE!K5:K200,"EM ABATE",ABATE!G5:G200)</f>
        <v/>
      </c>
      <c r="G14" s="23">
        <f>SUMIF(ABATE!K5:K200,"EM ABATE",ABATE!H5:H200)</f>
        <v/>
      </c>
    </row>
    <row r="15" ht="20" customHeight="1">
      <c r="A15" s="28" t="inlineStr">
        <is>
          <t>ABATIDO</t>
        </is>
      </c>
      <c r="C15" s="22">
        <f>COUNTIF(AGENDAMENTOS!J5:J200,"ABATIDO")+COUNTIF(RECEBIMENTO!N5:N200,"ABATIDO")+COUNTIF(ABATE!K5:K200,"ABATIDO")</f>
        <v/>
      </c>
      <c r="E15" s="22">
        <f>SUMIF(AGENDAMENTOS!J5:J200,"ABATIDO",AGENDAMENTOS!G5:G200)+SUMIF(RECEBIMENTO!N5:N200,"ABATIDO",RECEBIMENTO!F5:F200)+SUMIF(ABATE!K5:K200,"ABATIDO",ABATE!G5:G200)</f>
        <v/>
      </c>
      <c r="G15" s="23">
        <f>SUMIF(ABATE!K5:K200,"ABATIDO",ABATE!H5:H200)</f>
        <v/>
      </c>
    </row>
    <row r="16" ht="20" customHeight="1">
      <c r="A16" s="29" t="inlineStr">
        <is>
          <t>CONDENADO</t>
        </is>
      </c>
      <c r="C16" s="22">
        <f>COUNTIF(AGENDAMENTOS!J5:J200,"CONDENADO")+COUNTIF(RECEBIMENTO!N5:N200,"CONDENADO")+COUNTIF(ABATE!K5:K200,"CONDENADO")</f>
        <v/>
      </c>
      <c r="E16" s="22">
        <f>SUMIF(AGENDAMENTOS!J5:J200,"CONDENADO",AGENDAMENTOS!G5:G200)+SUMIF(RECEBIMENTO!N5:N200,"CONDENADO",RECEBIMENTO!F5:F200)+SUMIF(ABATE!K5:K200,"CONDENADO",ABATE!G5:G200)</f>
        <v/>
      </c>
      <c r="G16" s="23">
        <f>SUMIF(ABATE!K5:K200,"CONDENADO",ABATE!H5:H200)</f>
        <v/>
      </c>
    </row>
    <row r="18" ht="20" customHeight="1">
      <c r="A18" s="30" t="inlineStr">
        <is>
          <t>⚠  Células em AMARELO são de entrada manual · Células em VERDE são calculadas automaticamente · Use as abas abaixo para registrar cada etapa</t>
        </is>
      </c>
    </row>
  </sheetData>
  <mergeCells count="48">
    <mergeCell ref="E12:F12"/>
    <mergeCell ref="G12:H12"/>
    <mergeCell ref="A15:B15"/>
    <mergeCell ref="C15:D15"/>
    <mergeCell ref="A11:B11"/>
    <mergeCell ref="G11:H11"/>
    <mergeCell ref="A5:B6"/>
    <mergeCell ref="G5:H6"/>
    <mergeCell ref="C14:D14"/>
    <mergeCell ref="E14:F14"/>
    <mergeCell ref="I5:J6"/>
    <mergeCell ref="A18:L18"/>
    <mergeCell ref="K4:L4"/>
    <mergeCell ref="C4:D4"/>
    <mergeCell ref="A2:L2"/>
    <mergeCell ref="E4:F4"/>
    <mergeCell ref="A16:B16"/>
    <mergeCell ref="C10:D10"/>
    <mergeCell ref="C16:D16"/>
    <mergeCell ref="E10:F10"/>
    <mergeCell ref="G10:H10"/>
    <mergeCell ref="A8:L8"/>
    <mergeCell ref="E13:F13"/>
    <mergeCell ref="C9:D9"/>
    <mergeCell ref="G13:H13"/>
    <mergeCell ref="E9:F9"/>
    <mergeCell ref="A12:B12"/>
    <mergeCell ref="C12:D12"/>
    <mergeCell ref="E15:F15"/>
    <mergeCell ref="C11:D11"/>
    <mergeCell ref="G15:H15"/>
    <mergeCell ref="E11:F11"/>
    <mergeCell ref="C5:D6"/>
    <mergeCell ref="A14:B14"/>
    <mergeCell ref="E5:F6"/>
    <mergeCell ref="K5:L6"/>
    <mergeCell ref="G14:H14"/>
    <mergeCell ref="A4:B4"/>
    <mergeCell ref="G4:H4"/>
    <mergeCell ref="I4:J4"/>
    <mergeCell ref="E16:F16"/>
    <mergeCell ref="G16:H16"/>
    <mergeCell ref="A1:L1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5" customWidth="1" min="8" max="8"/>
    <col width="22" customWidth="1" min="9" max="9"/>
    <col width="14" customWidth="1" min="10" max="10"/>
    <col width="28" customWidth="1" min="11" max="11"/>
  </cols>
  <sheetData>
    <row r="1" ht="36" customHeight="1">
      <c r="A1" s="1" t="inlineStr">
        <is>
          <t>CADASTRO DE COLONOS / FORNECEDORES</t>
        </is>
      </c>
    </row>
    <row r="2" ht="22" customHeight="1">
      <c r="A2" s="2" t="inlineStr">
        <is>
          <t>Registro de todos os produtores que fornecem suínos à unidade</t>
        </is>
      </c>
    </row>
    <row r="4" ht="30" customHeight="1">
      <c r="A4" s="31" t="inlineStr">
        <is>
          <t>ID
COLONO</t>
        </is>
      </c>
      <c r="B4" s="31" t="inlineStr">
        <is>
          <t>NOME DO COLONO / PRODUTOR</t>
        </is>
      </c>
      <c r="C4" s="31" t="inlineStr">
        <is>
          <t>MUNICÍPIO</t>
        </is>
      </c>
      <c r="D4" s="31" t="inlineStr">
        <is>
          <t>LOCALIDADE / LINHA</t>
        </is>
      </c>
      <c r="E4" s="31" t="inlineStr">
        <is>
          <t>TELEFONE</t>
        </is>
      </c>
      <c r="F4" s="31" t="inlineStr">
        <is>
          <t>CPF / CNPJ</t>
        </is>
      </c>
      <c r="G4" s="31" t="inlineStr">
        <is>
          <t>INSCRIÇÃO ESTADUAL</t>
        </is>
      </c>
      <c r="H4" s="31" t="inlineStr">
        <is>
          <t>CONTRATO Nº</t>
        </is>
      </c>
      <c r="I4" s="31" t="inlineStr">
        <is>
          <t>RAÇA PRINCIPAL</t>
        </is>
      </c>
      <c r="J4" s="31" t="inlineStr">
        <is>
          <t>CAPACIDADE
MÉDIA (cab/lote)</t>
        </is>
      </c>
      <c r="K4" s="31" t="inlineStr">
        <is>
          <t>OBS / CONVÊNIO</t>
        </is>
      </c>
    </row>
    <row r="5" ht="18" customHeight="1">
      <c r="A5" s="32" t="inlineStr">
        <is>
          <t>COL-001</t>
        </is>
      </c>
      <c r="B5" s="32" t="inlineStr">
        <is>
          <t>João Antônio Beber</t>
        </is>
      </c>
      <c r="C5" s="32" t="inlineStr">
        <is>
          <t>Presidente Getúlio</t>
        </is>
      </c>
      <c r="D5" s="32" t="inlineStr">
        <is>
          <t>Linha Sete</t>
        </is>
      </c>
      <c r="E5" s="32" t="inlineStr">
        <is>
          <t>(47) 99123-4567</t>
        </is>
      </c>
      <c r="F5" s="32" t="inlineStr">
        <is>
          <t>012.345.678-90</t>
        </is>
      </c>
      <c r="G5" s="32" t="inlineStr">
        <is>
          <t>1234567-8</t>
        </is>
      </c>
      <c r="H5" s="32" t="inlineStr">
        <is>
          <t>CONT-2024-001</t>
        </is>
      </c>
      <c r="I5" s="32" t="inlineStr">
        <is>
          <t>Landrace/Large White</t>
        </is>
      </c>
      <c r="J5" s="32" t="n">
        <v>80</v>
      </c>
      <c r="K5" s="32" t="inlineStr">
        <is>
          <t>Integrado Pamplona</t>
        </is>
      </c>
    </row>
    <row r="6" ht="18" customHeight="1">
      <c r="A6" s="32" t="inlineStr">
        <is>
          <t>COL-002</t>
        </is>
      </c>
      <c r="B6" s="32" t="inlineStr">
        <is>
          <t>Maria dos Santos Fontana</t>
        </is>
      </c>
      <c r="C6" s="32" t="inlineStr">
        <is>
          <t>Ibicaré</t>
        </is>
      </c>
      <c r="D6" s="32" t="inlineStr">
        <is>
          <t>Linha Santa Maria</t>
        </is>
      </c>
      <c r="E6" s="32" t="inlineStr">
        <is>
          <t>(49) 99876-5432</t>
        </is>
      </c>
      <c r="F6" s="32" t="inlineStr">
        <is>
          <t>987.654.321-00</t>
        </is>
      </c>
      <c r="G6" s="32" t="inlineStr">
        <is>
          <t>8765432-1</t>
        </is>
      </c>
      <c r="H6" s="32" t="inlineStr">
        <is>
          <t>CONT-2024-002</t>
        </is>
      </c>
      <c r="I6" s="32" t="inlineStr">
        <is>
          <t>Duroc</t>
        </is>
      </c>
      <c r="J6" s="32" t="n">
        <v>120</v>
      </c>
      <c r="K6" s="32" t="inlineStr">
        <is>
          <t>Integrado — parceria 5 anos</t>
        </is>
      </c>
    </row>
    <row r="7" ht="18" customHeight="1">
      <c r="A7" s="32" t="inlineStr">
        <is>
          <t>COL-003</t>
        </is>
      </c>
      <c r="B7" s="32" t="inlineStr">
        <is>
          <t>Pedro Grando</t>
        </is>
      </c>
      <c r="C7" s="32" t="inlineStr">
        <is>
          <t>Presidente Getúlio</t>
        </is>
      </c>
      <c r="D7" s="32" t="inlineStr">
        <is>
          <t>Serraria Bela</t>
        </is>
      </c>
      <c r="E7" s="32" t="inlineStr">
        <is>
          <t>(47) 99222-1111</t>
        </is>
      </c>
      <c r="F7" s="32" t="inlineStr">
        <is>
          <t>111.222.333-44</t>
        </is>
      </c>
      <c r="G7" s="32" t="inlineStr">
        <is>
          <t>3334444-5</t>
        </is>
      </c>
      <c r="H7" s="32" t="inlineStr">
        <is>
          <t>CONT-2024-003</t>
        </is>
      </c>
      <c r="I7" s="32" t="inlineStr">
        <is>
          <t>PIC 337 x C22</t>
        </is>
      </c>
      <c r="J7" s="32" t="n">
        <v>60</v>
      </c>
      <c r="K7" s="32" t="inlineStr"/>
    </row>
    <row r="8" ht="18" customHeight="1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</row>
    <row r="9" ht="18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</row>
    <row r="10" ht="18" customHeight="1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</row>
    <row r="11" ht="18" customHeight="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</row>
    <row r="12" ht="18" customHeight="1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</row>
    <row r="13" ht="18" customHeight="1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</row>
    <row r="14" ht="18" customHeight="1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</row>
    <row r="15" ht="18" customHeight="1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</row>
    <row r="16" ht="18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</row>
    <row r="17" ht="18" customHeight="1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</row>
    <row r="18" ht="18" customHeight="1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</row>
    <row r="19" ht="18" customHeight="1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</row>
    <row r="20" ht="18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</row>
    <row r="21" ht="18" customHeight="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</row>
    <row r="22" ht="18" customHeight="1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</row>
    <row r="23" ht="18" customHeight="1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</row>
    <row r="24" ht="18" customHeight="1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</row>
    <row r="25" ht="18" customHeight="1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</row>
    <row r="26" ht="18" customHeight="1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</row>
    <row r="27" ht="18" customHeight="1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</row>
    <row r="30" ht="18" customHeight="1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</row>
    <row r="31" ht="18" customHeight="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</row>
    <row r="32" ht="18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</row>
    <row r="33" ht="18" customHeight="1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</row>
    <row r="34" ht="18" customHeight="1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</row>
    <row r="35" ht="18" customHeight="1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</row>
    <row r="36" ht="18" customHeight="1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</row>
    <row r="37" ht="18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</row>
    <row r="38" ht="18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</row>
    <row r="39" ht="18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</row>
    <row r="40" ht="18" customHeight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</row>
    <row r="41" ht="18" customHeight="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</row>
    <row r="42" ht="18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</row>
    <row r="43" ht="18" customHeight="1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</row>
    <row r="44" ht="18" customHeight="1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</row>
    <row r="45" ht="18" customHeight="1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</row>
    <row r="46" ht="18" customHeight="1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</row>
    <row r="47" ht="18" customHeight="1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</row>
    <row r="48" ht="18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</row>
    <row r="49" ht="18" customHeight="1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</row>
    <row r="50" ht="18" customHeight="1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</row>
    <row r="51" ht="18" customHeight="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</row>
    <row r="52" ht="18" customHeight="1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</row>
    <row r="53" ht="18" customHeight="1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</row>
    <row r="54" ht="18" customHeight="1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</row>
    <row r="55" ht="18" customHeight="1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</row>
    <row r="56" ht="18" customHeight="1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</row>
    <row r="57" ht="18" customHeight="1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</row>
    <row r="58" ht="18" customHeight="1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</row>
    <row r="59" ht="18" customHeight="1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</row>
    <row r="60" ht="18" customHeight="1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</row>
    <row r="61" ht="18" customHeight="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</row>
    <row r="62" ht="18" customHeight="1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</row>
    <row r="63" ht="18" customHeight="1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</row>
    <row r="64" ht="18" customHeight="1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</row>
    <row r="65" ht="18" customHeight="1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</row>
    <row r="66" ht="18" customHeight="1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</row>
    <row r="67" ht="18" customHeight="1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</row>
    <row r="68" ht="18" customHeight="1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</row>
    <row r="69" ht="18" customHeight="1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</row>
    <row r="70" ht="18" customHeight="1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</row>
    <row r="71" ht="18" customHeight="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</row>
    <row r="72" ht="18" customHeight="1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</row>
    <row r="73" ht="18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</row>
    <row r="74" ht="18" customHeight="1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</row>
    <row r="75" ht="18" customHeight="1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</row>
    <row r="76" ht="18" customHeight="1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</row>
    <row r="77" ht="18" customHeight="1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</row>
    <row r="78" ht="18" customHeight="1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</row>
    <row r="79" ht="18" customHeight="1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</row>
    <row r="80" ht="18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</row>
    <row r="81" ht="18" customHeight="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</row>
    <row r="82" ht="18" customHeight="1">
      <c r="A82" s="33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</row>
    <row r="83" ht="18" customHeight="1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</row>
    <row r="84" ht="18" customHeight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</row>
    <row r="85" ht="18" customHeight="1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</row>
    <row r="86" ht="18" customHeight="1">
      <c r="A86" s="33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</row>
    <row r="87" ht="18" customHeight="1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</row>
    <row r="88" ht="18" customHeight="1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</row>
    <row r="89" ht="18" customHeight="1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</row>
    <row r="90" ht="18" customHeight="1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</row>
    <row r="91" ht="18" customHeight="1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</row>
    <row r="92" ht="18" customHeight="1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</row>
    <row r="93" ht="18" customHeight="1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</row>
    <row r="94" ht="18" customHeight="1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</row>
    <row r="95" ht="18" customHeight="1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</row>
    <row r="96" ht="18" customHeight="1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</row>
    <row r="97" ht="18" customHeight="1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</row>
    <row r="98" ht="18" customHeight="1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</row>
    <row r="99" ht="18" customHeight="1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</row>
    <row r="100" ht="18" customHeight="1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</row>
    <row r="101" ht="18" customHeight="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</row>
    <row r="102" ht="18" customHeight="1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</row>
    <row r="103" ht="18" customHeight="1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</row>
    <row r="104" ht="18" customHeight="1">
      <c r="A104" s="33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</row>
    <row r="105" ht="18" customHeight="1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</row>
    <row r="106" ht="18" customHeight="1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</row>
    <row r="107" ht="18" customHeight="1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</row>
    <row r="108" ht="18" customHeight="1">
      <c r="A108" s="33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</row>
    <row r="109" ht="18" customHeight="1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</row>
    <row r="110" ht="18" customHeight="1">
      <c r="A110" s="33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</row>
    <row r="111" ht="18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</row>
    <row r="112" ht="18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</row>
    <row r="113" ht="18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</row>
    <row r="114" ht="18" customHeight="1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</row>
    <row r="115" ht="18" customHeight="1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</row>
    <row r="116" ht="18" customHeight="1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</row>
    <row r="117" ht="18" customHeight="1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</row>
    <row r="118" ht="18" customHeight="1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</row>
    <row r="119" ht="18" customHeight="1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</row>
    <row r="120" ht="18" customHeight="1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</row>
    <row r="121" ht="18" customHeight="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</row>
    <row r="122" ht="18" customHeight="1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</row>
    <row r="123" ht="18" customHeight="1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</row>
    <row r="124" ht="18" customHeight="1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</row>
    <row r="125" ht="18" customHeight="1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</row>
    <row r="126" ht="18" customHeight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</row>
    <row r="127" ht="18" customHeight="1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</row>
    <row r="128" ht="18" customHeight="1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</row>
    <row r="129" ht="18" customHeight="1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</row>
    <row r="130" ht="18" customHeight="1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</row>
    <row r="131" ht="18" customHeight="1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</row>
    <row r="132" ht="18" customHeight="1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</row>
    <row r="133" ht="18" customHeight="1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</row>
    <row r="134" ht="18" customHeight="1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</row>
    <row r="135" ht="18" customHeight="1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</row>
    <row r="136" ht="18" customHeight="1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</row>
    <row r="137" ht="18" customHeight="1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</row>
    <row r="138" ht="18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</row>
    <row r="139" ht="18" customHeight="1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</row>
    <row r="140" ht="18" customHeight="1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</row>
    <row r="141" ht="18" customHeight="1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</row>
    <row r="142" ht="18" customHeight="1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</row>
    <row r="143" ht="18" customHeight="1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</row>
    <row r="144" ht="18" customHeight="1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</row>
    <row r="145" ht="18" customHeight="1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</row>
    <row r="146" ht="18" customHeight="1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</row>
    <row r="147" ht="18" customHeight="1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</row>
    <row r="148" ht="18" customHeight="1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</row>
    <row r="149" ht="18" customHeight="1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</row>
    <row r="150" ht="18" customHeight="1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</row>
    <row r="151" ht="18" customHeight="1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</row>
    <row r="152" ht="18" customHeight="1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</row>
    <row r="153" ht="18" customHeight="1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</row>
    <row r="154" ht="18" customHeight="1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</row>
    <row r="155" ht="18" customHeight="1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</row>
    <row r="156" ht="18" customHeight="1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</row>
    <row r="157" ht="18" customHeight="1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</row>
    <row r="158" ht="18" customHeight="1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</row>
    <row r="159" ht="18" customHeight="1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</row>
    <row r="160" ht="18" customHeight="1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</row>
    <row r="161" ht="18" customHeight="1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</row>
    <row r="162" ht="18" customHeight="1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</row>
    <row r="163" ht="18" customHeight="1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</row>
    <row r="164" ht="18" customHeight="1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</row>
    <row r="165" ht="18" customHeight="1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</row>
    <row r="166" ht="18" customHeight="1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</row>
    <row r="167" ht="18" customHeight="1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</row>
    <row r="168" ht="18" customHeight="1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</row>
    <row r="169" ht="18" customHeight="1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</row>
    <row r="170" ht="18" customHeight="1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</row>
    <row r="171" ht="18" customHeight="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</row>
    <row r="172" ht="18" customHeight="1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</row>
    <row r="173" ht="18" customHeight="1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</row>
    <row r="174" ht="18" customHeight="1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</row>
    <row r="175" ht="18" customHeight="1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</row>
    <row r="176" ht="18" customHeight="1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</row>
    <row r="177" ht="18" customHeight="1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</row>
    <row r="178" ht="18" customHeight="1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</row>
    <row r="179" ht="18" customHeight="1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</row>
    <row r="180" ht="18" customHeight="1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</row>
    <row r="181" ht="18" customHeight="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</row>
    <row r="182" ht="18" customHeight="1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</row>
    <row r="183" ht="18" customHeight="1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</row>
    <row r="184" ht="18" customHeight="1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</row>
    <row r="185" ht="18" customHeight="1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</row>
    <row r="186" ht="18" customHeight="1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</row>
    <row r="187" ht="18" customHeight="1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</row>
    <row r="188" ht="18" customHeight="1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</row>
    <row r="189" ht="18" customHeight="1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</row>
    <row r="190" ht="18" customHeight="1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</row>
    <row r="191" ht="18" customHeight="1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</row>
    <row r="192" ht="18" customHeight="1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</row>
    <row r="193" ht="18" customHeight="1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</row>
    <row r="194" ht="18" customHeight="1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</row>
    <row r="195" ht="18" customHeight="1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</row>
    <row r="196" ht="18" customHeight="1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</row>
    <row r="197" ht="18" customHeight="1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</row>
    <row r="198" ht="18" customHeight="1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</row>
    <row r="199" ht="18" customHeight="1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</row>
    <row r="200" ht="18" customHeight="1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</row>
    <row r="201" ht="18" customHeight="1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</row>
    <row r="202" ht="18" customHeight="1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</row>
    <row r="203" ht="18" customHeight="1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</row>
    <row r="204" ht="18" customHeight="1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</row>
  </sheetData>
  <autoFilter ref="A4:K4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8" customWidth="1" min="3" max="3"/>
    <col width="22" customWidth="1" min="4" max="4"/>
    <col width="16" customWidth="1" min="5" max="5"/>
    <col width="9" customWidth="1" min="6" max="6"/>
    <col width="9" customWidth="1" min="7" max="7"/>
    <col width="13" customWidth="1" min="8" max="8"/>
    <col width="14" customWidth="1" min="9" max="9"/>
    <col width="14" customWidth="1" min="10" max="10"/>
    <col width="20" customWidth="1" min="11" max="11"/>
    <col width="12" customWidth="1" min="12" max="12"/>
    <col width="32" customWidth="1" min="13" max="13"/>
  </cols>
  <sheetData>
    <row r="1" ht="36" customHeight="1">
      <c r="A1" s="1" t="inlineStr">
        <is>
          <t>AGENDAMENTOS — PORCOS A CHEGAR</t>
        </is>
      </c>
    </row>
    <row r="2" ht="22" customHeight="1">
      <c r="A2" s="2" t="inlineStr">
        <is>
          <t>Registro de lotes agendados pelos colonos · Status: AGENDADO | EM TRÂNSITO | RECEBIDO | CANCELADO</t>
        </is>
      </c>
    </row>
    <row r="4" ht="30" customHeight="1">
      <c r="A4" s="31" t="inlineStr">
        <is>
          <t>ID
LOTE</t>
        </is>
      </c>
      <c r="B4" s="31" t="inlineStr">
        <is>
          <t>ID
COLONO</t>
        </is>
      </c>
      <c r="C4" s="31" t="inlineStr">
        <is>
          <t>NOME DO COLONO</t>
        </is>
      </c>
      <c r="D4" s="31" t="inlineStr">
        <is>
          <t>MUNICÍPIO</t>
        </is>
      </c>
      <c r="E4" s="31" t="inlineStr">
        <is>
          <t>DATA PREVISTA
CHEGADA</t>
        </is>
      </c>
      <c r="F4" s="31" t="inlineStr">
        <is>
          <t>HORA
PREVISTA</t>
        </is>
      </c>
      <c r="G4" s="31" t="inlineStr">
        <is>
          <t>QTD
PREVISTA</t>
        </is>
      </c>
      <c r="H4" s="31" t="inlineStr">
        <is>
          <t>PESO MÉDIO
PREVISTO (kg)</t>
        </is>
      </c>
      <c r="I4" s="31" t="inlineStr">
        <is>
          <t>PESO TOTAL
ESTIMADO (kg)</t>
        </is>
      </c>
      <c r="J4" s="31" t="inlineStr">
        <is>
          <t>STATUS</t>
        </is>
      </c>
      <c r="K4" s="31" t="inlineStr">
        <is>
          <t>MOTORISTA</t>
        </is>
      </c>
      <c r="L4" s="31" t="inlineStr">
        <is>
          <t>PLACA
VEÍCULO</t>
        </is>
      </c>
      <c r="M4" s="31" t="inlineStr">
        <is>
          <t>OBS / ROTA</t>
        </is>
      </c>
    </row>
    <row r="5" ht="18" customHeight="1">
      <c r="A5" s="32" t="inlineStr">
        <is>
          <t>LOT-2024-001</t>
        </is>
      </c>
      <c r="B5" s="32" t="inlineStr">
        <is>
          <t>COL-001</t>
        </is>
      </c>
      <c r="C5" s="32" t="inlineStr">
        <is>
          <t>João Antônio Beber</t>
        </is>
      </c>
      <c r="D5" s="32" t="inlineStr">
        <is>
          <t>Presidente Getúlio</t>
        </is>
      </c>
      <c r="E5" s="34" t="n">
        <v>45519</v>
      </c>
      <c r="F5" s="32" t="inlineStr">
        <is>
          <t>06:00</t>
        </is>
      </c>
      <c r="G5" s="32" t="n">
        <v>80</v>
      </c>
      <c r="H5" s="35" t="n">
        <v>110</v>
      </c>
      <c r="I5" s="36">
        <f>G5*H5</f>
        <v/>
      </c>
      <c r="J5" s="37" t="inlineStr">
        <is>
          <t>AGENDADO</t>
        </is>
      </c>
      <c r="K5" s="32" t="inlineStr">
        <is>
          <t>Carlos Mota</t>
        </is>
      </c>
      <c r="L5" s="32" t="inlineStr">
        <is>
          <t>SCP-1234</t>
        </is>
      </c>
      <c r="M5" s="32" t="inlineStr">
        <is>
          <t>Via BR-470 · estimativa 45 min</t>
        </is>
      </c>
    </row>
    <row r="6" ht="18" customHeight="1">
      <c r="A6" s="32" t="inlineStr">
        <is>
          <t>LOT-2024-002</t>
        </is>
      </c>
      <c r="B6" s="32" t="inlineStr">
        <is>
          <t>COL-002</t>
        </is>
      </c>
      <c r="C6" s="32" t="inlineStr">
        <is>
          <t>Maria dos Santos Fontana</t>
        </is>
      </c>
      <c r="D6" s="32" t="inlineStr">
        <is>
          <t>Ibicaré</t>
        </is>
      </c>
      <c r="E6" s="34" t="n">
        <v>45519</v>
      </c>
      <c r="F6" s="32" t="inlineStr">
        <is>
          <t>08:30</t>
        </is>
      </c>
      <c r="G6" s="32" t="n">
        <v>120</v>
      </c>
      <c r="H6" s="35" t="n">
        <v>105.5</v>
      </c>
      <c r="I6" s="36">
        <f>G6*H6</f>
        <v/>
      </c>
      <c r="J6" s="38" t="inlineStr">
        <is>
          <t>EM TRÂNSITO</t>
        </is>
      </c>
      <c r="K6" s="32" t="inlineStr">
        <is>
          <t>Roberto Leal</t>
        </is>
      </c>
      <c r="L6" s="32" t="inlineStr">
        <is>
          <t>SCQ-5678</t>
        </is>
      </c>
      <c r="M6" s="32" t="inlineStr">
        <is>
          <t>Saiu às 07:15 — rodovia liberada</t>
        </is>
      </c>
    </row>
    <row r="7" ht="18" customHeight="1">
      <c r="A7" s="32" t="inlineStr">
        <is>
          <t>LOT-2024-003</t>
        </is>
      </c>
      <c r="B7" s="32" t="inlineStr">
        <is>
          <t>COL-003</t>
        </is>
      </c>
      <c r="C7" s="32" t="inlineStr">
        <is>
          <t>Pedro Grando</t>
        </is>
      </c>
      <c r="D7" s="32" t="inlineStr">
        <is>
          <t>Presidente Getúlio</t>
        </is>
      </c>
      <c r="E7" s="34" t="n">
        <v>45520</v>
      </c>
      <c r="F7" s="32" t="inlineStr">
        <is>
          <t>07:00</t>
        </is>
      </c>
      <c r="G7" s="32" t="n">
        <v>60</v>
      </c>
      <c r="H7" s="35" t="n">
        <v>115</v>
      </c>
      <c r="I7" s="36">
        <f>G7*H7</f>
        <v/>
      </c>
      <c r="J7" s="37" t="inlineStr">
        <is>
          <t>AGENDADO</t>
        </is>
      </c>
      <c r="K7" s="32" t="inlineStr"/>
      <c r="L7" s="32" t="inlineStr"/>
      <c r="M7" s="32" t="inlineStr">
        <is>
          <t>Confirmar na véspera</t>
        </is>
      </c>
    </row>
    <row r="8" ht="18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40">
        <f>IF(G8="","",G8*H8)</f>
        <v/>
      </c>
      <c r="J8" s="39" t="n"/>
      <c r="K8" s="39" t="n"/>
      <c r="L8" s="39" t="n"/>
      <c r="M8" s="39" t="n"/>
    </row>
    <row r="9" ht="18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40">
        <f>IF(G9="","",G9*H9)</f>
        <v/>
      </c>
      <c r="J9" s="39" t="n"/>
      <c r="K9" s="39" t="n"/>
      <c r="L9" s="39" t="n"/>
      <c r="M9" s="39" t="n"/>
    </row>
    <row r="10" ht="18" customHeight="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40">
        <f>IF(G10="","",G10*H10)</f>
        <v/>
      </c>
      <c r="J10" s="39" t="n"/>
      <c r="K10" s="39" t="n"/>
      <c r="L10" s="39" t="n"/>
      <c r="M10" s="39" t="n"/>
    </row>
    <row r="11" ht="18" customHeight="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0">
        <f>IF(G11="","",G11*H11)</f>
        <v/>
      </c>
      <c r="J11" s="39" t="n"/>
      <c r="K11" s="39" t="n"/>
      <c r="L11" s="39" t="n"/>
      <c r="M11" s="39" t="n"/>
    </row>
    <row r="12" ht="18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40">
        <f>IF(G12="","",G12*H12)</f>
        <v/>
      </c>
      <c r="J12" s="39" t="n"/>
      <c r="K12" s="39" t="n"/>
      <c r="L12" s="39" t="n"/>
      <c r="M12" s="39" t="n"/>
    </row>
    <row r="13" ht="18" customHeight="1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>
        <f>IF(G13="","",G13*H13)</f>
        <v/>
      </c>
      <c r="J13" s="39" t="n"/>
      <c r="K13" s="39" t="n"/>
      <c r="L13" s="39" t="n"/>
      <c r="M13" s="39" t="n"/>
    </row>
    <row r="14" ht="18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40">
        <f>IF(G14="","",G14*H14)</f>
        <v/>
      </c>
      <c r="J14" s="39" t="n"/>
      <c r="K14" s="39" t="n"/>
      <c r="L14" s="39" t="n"/>
      <c r="M14" s="39" t="n"/>
    </row>
    <row r="15" ht="18" customHeight="1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>
        <f>IF(G15="","",G15*H15)</f>
        <v/>
      </c>
      <c r="J15" s="39" t="n"/>
      <c r="K15" s="39" t="n"/>
      <c r="L15" s="39" t="n"/>
      <c r="M15" s="39" t="n"/>
    </row>
    <row r="16" ht="18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40">
        <f>IF(G16="","",G16*H16)</f>
        <v/>
      </c>
      <c r="J16" s="39" t="n"/>
      <c r="K16" s="39" t="n"/>
      <c r="L16" s="39" t="n"/>
      <c r="M16" s="39" t="n"/>
    </row>
    <row r="17" ht="18" customHeigh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>
        <f>IF(G17="","",G17*H17)</f>
        <v/>
      </c>
      <c r="J17" s="39" t="n"/>
      <c r="K17" s="39" t="n"/>
      <c r="L17" s="39" t="n"/>
      <c r="M17" s="39" t="n"/>
    </row>
    <row r="18" ht="18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40">
        <f>IF(G18="","",G18*H18)</f>
        <v/>
      </c>
      <c r="J18" s="39" t="n"/>
      <c r="K18" s="39" t="n"/>
      <c r="L18" s="39" t="n"/>
      <c r="M18" s="39" t="n"/>
    </row>
    <row r="19" ht="18" customHeight="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>
        <f>IF(G19="","",G19*H19)</f>
        <v/>
      </c>
      <c r="J19" s="39" t="n"/>
      <c r="K19" s="39" t="n"/>
      <c r="L19" s="39" t="n"/>
      <c r="M19" s="39" t="n"/>
    </row>
    <row r="20" ht="18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40">
        <f>IF(G20="","",G20*H20)</f>
        <v/>
      </c>
      <c r="J20" s="39" t="n"/>
      <c r="K20" s="39" t="n"/>
      <c r="L20" s="39" t="n"/>
      <c r="M20" s="39" t="n"/>
    </row>
    <row r="21" ht="18" customHeight="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>
        <f>IF(G21="","",G21*H21)</f>
        <v/>
      </c>
      <c r="J21" s="39" t="n"/>
      <c r="K21" s="39" t="n"/>
      <c r="L21" s="39" t="n"/>
      <c r="M21" s="39" t="n"/>
    </row>
    <row r="22" ht="18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40">
        <f>IF(G22="","",G22*H22)</f>
        <v/>
      </c>
      <c r="J22" s="39" t="n"/>
      <c r="K22" s="39" t="n"/>
      <c r="L22" s="39" t="n"/>
      <c r="M22" s="39" t="n"/>
    </row>
    <row r="23" ht="18" customHeight="1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>
        <f>IF(G23="","",G23*H23)</f>
        <v/>
      </c>
      <c r="J23" s="39" t="n"/>
      <c r="K23" s="39" t="n"/>
      <c r="L23" s="39" t="n"/>
      <c r="M23" s="39" t="n"/>
    </row>
    <row r="24" ht="18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40">
        <f>IF(G24="","",G24*H24)</f>
        <v/>
      </c>
      <c r="J24" s="39" t="n"/>
      <c r="K24" s="39" t="n"/>
      <c r="L24" s="39" t="n"/>
      <c r="M24" s="39" t="n"/>
    </row>
    <row r="25" ht="18" customHeight="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>
        <f>IF(G25="","",G25*H25)</f>
        <v/>
      </c>
      <c r="J25" s="39" t="n"/>
      <c r="K25" s="39" t="n"/>
      <c r="L25" s="39" t="n"/>
      <c r="M25" s="39" t="n"/>
    </row>
    <row r="26" ht="18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40">
        <f>IF(G26="","",G26*H26)</f>
        <v/>
      </c>
      <c r="J26" s="39" t="n"/>
      <c r="K26" s="39" t="n"/>
      <c r="L26" s="39" t="n"/>
      <c r="M26" s="39" t="n"/>
    </row>
    <row r="27" ht="18" customHeight="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>
        <f>IF(G27="","",G27*H27)</f>
        <v/>
      </c>
      <c r="J27" s="39" t="n"/>
      <c r="K27" s="39" t="n"/>
      <c r="L27" s="39" t="n"/>
      <c r="M27" s="39" t="n"/>
    </row>
    <row r="28" ht="18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40">
        <f>IF(G28="","",G28*H28)</f>
        <v/>
      </c>
      <c r="J28" s="39" t="n"/>
      <c r="K28" s="39" t="n"/>
      <c r="L28" s="39" t="n"/>
      <c r="M28" s="39" t="n"/>
    </row>
    <row r="29" ht="18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>
        <f>IF(G29="","",G29*H29)</f>
        <v/>
      </c>
      <c r="J29" s="39" t="n"/>
      <c r="K29" s="39" t="n"/>
      <c r="L29" s="39" t="n"/>
      <c r="M29" s="39" t="n"/>
    </row>
    <row r="30" ht="18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40">
        <f>IF(G30="","",G30*H30)</f>
        <v/>
      </c>
      <c r="J30" s="39" t="n"/>
      <c r="K30" s="39" t="n"/>
      <c r="L30" s="39" t="n"/>
      <c r="M30" s="39" t="n"/>
    </row>
    <row r="31" ht="18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>
        <f>IF(G31="","",G31*H31)</f>
        <v/>
      </c>
      <c r="J31" s="39" t="n"/>
      <c r="K31" s="39" t="n"/>
      <c r="L31" s="39" t="n"/>
      <c r="M31" s="39" t="n"/>
    </row>
    <row r="32" ht="18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40">
        <f>IF(G32="","",G32*H32)</f>
        <v/>
      </c>
      <c r="J32" s="39" t="n"/>
      <c r="K32" s="39" t="n"/>
      <c r="L32" s="39" t="n"/>
      <c r="M32" s="39" t="n"/>
    </row>
    <row r="33" ht="18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>
        <f>IF(G33="","",G33*H33)</f>
        <v/>
      </c>
      <c r="J33" s="39" t="n"/>
      <c r="K33" s="39" t="n"/>
      <c r="L33" s="39" t="n"/>
      <c r="M33" s="39" t="n"/>
    </row>
    <row r="34" ht="18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40">
        <f>IF(G34="","",G34*H34)</f>
        <v/>
      </c>
      <c r="J34" s="39" t="n"/>
      <c r="K34" s="39" t="n"/>
      <c r="L34" s="39" t="n"/>
      <c r="M34" s="39" t="n"/>
    </row>
    <row r="35" ht="18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>
        <f>IF(G35="","",G35*H35)</f>
        <v/>
      </c>
      <c r="J35" s="39" t="n"/>
      <c r="K35" s="39" t="n"/>
      <c r="L35" s="39" t="n"/>
      <c r="M35" s="39" t="n"/>
    </row>
    <row r="36" ht="18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40">
        <f>IF(G36="","",G36*H36)</f>
        <v/>
      </c>
      <c r="J36" s="39" t="n"/>
      <c r="K36" s="39" t="n"/>
      <c r="L36" s="39" t="n"/>
      <c r="M36" s="39" t="n"/>
    </row>
    <row r="37" ht="18" customHeight="1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0">
        <f>IF(G37="","",G37*H37)</f>
        <v/>
      </c>
      <c r="J37" s="39" t="n"/>
      <c r="K37" s="39" t="n"/>
      <c r="L37" s="39" t="n"/>
      <c r="M37" s="39" t="n"/>
    </row>
    <row r="38" ht="18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40">
        <f>IF(G38="","",G38*H38)</f>
        <v/>
      </c>
      <c r="J38" s="39" t="n"/>
      <c r="K38" s="39" t="n"/>
      <c r="L38" s="39" t="n"/>
      <c r="M38" s="39" t="n"/>
    </row>
    <row r="39" ht="18" customHeight="1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0">
        <f>IF(G39="","",G39*H39)</f>
        <v/>
      </c>
      <c r="J39" s="39" t="n"/>
      <c r="K39" s="39" t="n"/>
      <c r="L39" s="39" t="n"/>
      <c r="M39" s="39" t="n"/>
    </row>
    <row r="40" ht="18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40">
        <f>IF(G40="","",G40*H40)</f>
        <v/>
      </c>
      <c r="J40" s="39" t="n"/>
      <c r="K40" s="39" t="n"/>
      <c r="L40" s="39" t="n"/>
      <c r="M40" s="39" t="n"/>
    </row>
    <row r="41" ht="18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0">
        <f>IF(G41="","",G41*H41)</f>
        <v/>
      </c>
      <c r="J41" s="39" t="n"/>
      <c r="K41" s="39" t="n"/>
      <c r="L41" s="39" t="n"/>
      <c r="M41" s="39" t="n"/>
    </row>
    <row r="42" ht="18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40">
        <f>IF(G42="","",G42*H42)</f>
        <v/>
      </c>
      <c r="J42" s="39" t="n"/>
      <c r="K42" s="39" t="n"/>
      <c r="L42" s="39" t="n"/>
      <c r="M42" s="39" t="n"/>
    </row>
    <row r="43" ht="18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0">
        <f>IF(G43="","",G43*H43)</f>
        <v/>
      </c>
      <c r="J43" s="39" t="n"/>
      <c r="K43" s="39" t="n"/>
      <c r="L43" s="39" t="n"/>
      <c r="M43" s="39" t="n"/>
    </row>
    <row r="44" ht="18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40">
        <f>IF(G44="","",G44*H44)</f>
        <v/>
      </c>
      <c r="J44" s="39" t="n"/>
      <c r="K44" s="39" t="n"/>
      <c r="L44" s="39" t="n"/>
      <c r="M44" s="39" t="n"/>
    </row>
    <row r="45" ht="18" customHeight="1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0">
        <f>IF(G45="","",G45*H45)</f>
        <v/>
      </c>
      <c r="J45" s="39" t="n"/>
      <c r="K45" s="39" t="n"/>
      <c r="L45" s="39" t="n"/>
      <c r="M45" s="39" t="n"/>
    </row>
    <row r="46" ht="18" customHeight="1">
      <c r="A46" s="39" t="n"/>
      <c r="B46" s="39" t="n"/>
      <c r="C46" s="39" t="n"/>
      <c r="D46" s="39" t="n"/>
      <c r="E46" s="39" t="n"/>
      <c r="F46" s="39" t="n"/>
      <c r="G46" s="39" t="n"/>
      <c r="H46" s="39" t="n"/>
      <c r="I46" s="40">
        <f>IF(G46="","",G46*H46)</f>
        <v/>
      </c>
      <c r="J46" s="39" t="n"/>
      <c r="K46" s="39" t="n"/>
      <c r="L46" s="39" t="n"/>
      <c r="M46" s="39" t="n"/>
    </row>
    <row r="47" ht="18" customHeight="1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0">
        <f>IF(G47="","",G47*H47)</f>
        <v/>
      </c>
      <c r="J47" s="39" t="n"/>
      <c r="K47" s="39" t="n"/>
      <c r="L47" s="39" t="n"/>
      <c r="M47" s="39" t="n"/>
    </row>
    <row r="48" ht="18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40">
        <f>IF(G48="","",G48*H48)</f>
        <v/>
      </c>
      <c r="J48" s="39" t="n"/>
      <c r="K48" s="39" t="n"/>
      <c r="L48" s="39" t="n"/>
      <c r="M48" s="39" t="n"/>
    </row>
    <row r="49" ht="18" customHeight="1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0">
        <f>IF(G49="","",G49*H49)</f>
        <v/>
      </c>
      <c r="J49" s="39" t="n"/>
      <c r="K49" s="39" t="n"/>
      <c r="L49" s="39" t="n"/>
      <c r="M49" s="39" t="n"/>
    </row>
    <row r="50" ht="18" customHeight="1">
      <c r="A50" s="39" t="n"/>
      <c r="B50" s="39" t="n"/>
      <c r="C50" s="39" t="n"/>
      <c r="D50" s="39" t="n"/>
      <c r="E50" s="39" t="n"/>
      <c r="F50" s="39" t="n"/>
      <c r="G50" s="39" t="n"/>
      <c r="H50" s="39" t="n"/>
      <c r="I50" s="40">
        <f>IF(G50="","",G50*H50)</f>
        <v/>
      </c>
      <c r="J50" s="39" t="n"/>
      <c r="K50" s="39" t="n"/>
      <c r="L50" s="39" t="n"/>
      <c r="M50" s="39" t="n"/>
    </row>
    <row r="51" ht="18" customHeight="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0">
        <f>IF(G51="","",G51*H51)</f>
        <v/>
      </c>
      <c r="J51" s="39" t="n"/>
      <c r="K51" s="39" t="n"/>
      <c r="L51" s="39" t="n"/>
      <c r="M51" s="39" t="n"/>
    </row>
    <row r="52" ht="18" customHeight="1">
      <c r="A52" s="39" t="n"/>
      <c r="B52" s="39" t="n"/>
      <c r="C52" s="39" t="n"/>
      <c r="D52" s="39" t="n"/>
      <c r="E52" s="39" t="n"/>
      <c r="F52" s="39" t="n"/>
      <c r="G52" s="39" t="n"/>
      <c r="H52" s="39" t="n"/>
      <c r="I52" s="40">
        <f>IF(G52="","",G52*H52)</f>
        <v/>
      </c>
      <c r="J52" s="39" t="n"/>
      <c r="K52" s="39" t="n"/>
      <c r="L52" s="39" t="n"/>
      <c r="M52" s="39" t="n"/>
    </row>
    <row r="53" ht="18" customHeight="1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0">
        <f>IF(G53="","",G53*H53)</f>
        <v/>
      </c>
      <c r="J53" s="39" t="n"/>
      <c r="K53" s="39" t="n"/>
      <c r="L53" s="39" t="n"/>
      <c r="M53" s="39" t="n"/>
    </row>
    <row r="54" ht="18" customHeight="1">
      <c r="A54" s="39" t="n"/>
      <c r="B54" s="39" t="n"/>
      <c r="C54" s="39" t="n"/>
      <c r="D54" s="39" t="n"/>
      <c r="E54" s="39" t="n"/>
      <c r="F54" s="39" t="n"/>
      <c r="G54" s="39" t="n"/>
      <c r="H54" s="39" t="n"/>
      <c r="I54" s="40">
        <f>IF(G54="","",G54*H54)</f>
        <v/>
      </c>
      <c r="J54" s="39" t="n"/>
      <c r="K54" s="39" t="n"/>
      <c r="L54" s="39" t="n"/>
      <c r="M54" s="39" t="n"/>
    </row>
    <row r="55" ht="18" customHeight="1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0">
        <f>IF(G55="","",G55*H55)</f>
        <v/>
      </c>
      <c r="J55" s="39" t="n"/>
      <c r="K55" s="39" t="n"/>
      <c r="L55" s="39" t="n"/>
      <c r="M55" s="39" t="n"/>
    </row>
    <row r="56" ht="18" customHeight="1">
      <c r="A56" s="39" t="n"/>
      <c r="B56" s="39" t="n"/>
      <c r="C56" s="39" t="n"/>
      <c r="D56" s="39" t="n"/>
      <c r="E56" s="39" t="n"/>
      <c r="F56" s="39" t="n"/>
      <c r="G56" s="39" t="n"/>
      <c r="H56" s="39" t="n"/>
      <c r="I56" s="40">
        <f>IF(G56="","",G56*H56)</f>
        <v/>
      </c>
      <c r="J56" s="39" t="n"/>
      <c r="K56" s="39" t="n"/>
      <c r="L56" s="39" t="n"/>
      <c r="M56" s="39" t="n"/>
    </row>
    <row r="57" ht="18" customHeight="1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0">
        <f>IF(G57="","",G57*H57)</f>
        <v/>
      </c>
      <c r="J57" s="39" t="n"/>
      <c r="K57" s="39" t="n"/>
      <c r="L57" s="39" t="n"/>
      <c r="M57" s="39" t="n"/>
    </row>
    <row r="58" ht="18" customHeight="1">
      <c r="A58" s="39" t="n"/>
      <c r="B58" s="39" t="n"/>
      <c r="C58" s="39" t="n"/>
      <c r="D58" s="39" t="n"/>
      <c r="E58" s="39" t="n"/>
      <c r="F58" s="39" t="n"/>
      <c r="G58" s="39" t="n"/>
      <c r="H58" s="39" t="n"/>
      <c r="I58" s="40">
        <f>IF(G58="","",G58*H58)</f>
        <v/>
      </c>
      <c r="J58" s="39" t="n"/>
      <c r="K58" s="39" t="n"/>
      <c r="L58" s="39" t="n"/>
      <c r="M58" s="39" t="n"/>
    </row>
    <row r="59" ht="18" customHeight="1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0">
        <f>IF(G59="","",G59*H59)</f>
        <v/>
      </c>
      <c r="J59" s="39" t="n"/>
      <c r="K59" s="39" t="n"/>
      <c r="L59" s="39" t="n"/>
      <c r="M59" s="39" t="n"/>
    </row>
    <row r="60" ht="18" customHeight="1">
      <c r="A60" s="39" t="n"/>
      <c r="B60" s="39" t="n"/>
      <c r="C60" s="39" t="n"/>
      <c r="D60" s="39" t="n"/>
      <c r="E60" s="39" t="n"/>
      <c r="F60" s="39" t="n"/>
      <c r="G60" s="39" t="n"/>
      <c r="H60" s="39" t="n"/>
      <c r="I60" s="40">
        <f>IF(G60="","",G60*H60)</f>
        <v/>
      </c>
      <c r="J60" s="39" t="n"/>
      <c r="K60" s="39" t="n"/>
      <c r="L60" s="39" t="n"/>
      <c r="M60" s="39" t="n"/>
    </row>
    <row r="61" ht="18" customHeight="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0">
        <f>IF(G61="","",G61*H61)</f>
        <v/>
      </c>
      <c r="J61" s="39" t="n"/>
      <c r="K61" s="39" t="n"/>
      <c r="L61" s="39" t="n"/>
      <c r="M61" s="39" t="n"/>
    </row>
    <row r="62" ht="18" customHeight="1">
      <c r="A62" s="39" t="n"/>
      <c r="B62" s="39" t="n"/>
      <c r="C62" s="39" t="n"/>
      <c r="D62" s="39" t="n"/>
      <c r="E62" s="39" t="n"/>
      <c r="F62" s="39" t="n"/>
      <c r="G62" s="39" t="n"/>
      <c r="H62" s="39" t="n"/>
      <c r="I62" s="40">
        <f>IF(G62="","",G62*H62)</f>
        <v/>
      </c>
      <c r="J62" s="39" t="n"/>
      <c r="K62" s="39" t="n"/>
      <c r="L62" s="39" t="n"/>
      <c r="M62" s="39" t="n"/>
    </row>
    <row r="63" ht="18" customHeight="1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0">
        <f>IF(G63="","",G63*H63)</f>
        <v/>
      </c>
      <c r="J63" s="39" t="n"/>
      <c r="K63" s="39" t="n"/>
      <c r="L63" s="39" t="n"/>
      <c r="M63" s="39" t="n"/>
    </row>
    <row r="64" ht="18" customHeight="1">
      <c r="A64" s="39" t="n"/>
      <c r="B64" s="39" t="n"/>
      <c r="C64" s="39" t="n"/>
      <c r="D64" s="39" t="n"/>
      <c r="E64" s="39" t="n"/>
      <c r="F64" s="39" t="n"/>
      <c r="G64" s="39" t="n"/>
      <c r="H64" s="39" t="n"/>
      <c r="I64" s="40">
        <f>IF(G64="","",G64*H64)</f>
        <v/>
      </c>
      <c r="J64" s="39" t="n"/>
      <c r="K64" s="39" t="n"/>
      <c r="L64" s="39" t="n"/>
      <c r="M64" s="39" t="n"/>
    </row>
    <row r="65" ht="18" customHeight="1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0">
        <f>IF(G65="","",G65*H65)</f>
        <v/>
      </c>
      <c r="J65" s="39" t="n"/>
      <c r="K65" s="39" t="n"/>
      <c r="L65" s="39" t="n"/>
      <c r="M65" s="39" t="n"/>
    </row>
    <row r="66" ht="18" customHeigh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40">
        <f>IF(G66="","",G66*H66)</f>
        <v/>
      </c>
      <c r="J66" s="39" t="n"/>
      <c r="K66" s="39" t="n"/>
      <c r="L66" s="39" t="n"/>
      <c r="M66" s="39" t="n"/>
    </row>
    <row r="67" ht="18" customHeigh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0">
        <f>IF(G67="","",G67*H67)</f>
        <v/>
      </c>
      <c r="J67" s="39" t="n"/>
      <c r="K67" s="39" t="n"/>
      <c r="L67" s="39" t="n"/>
      <c r="M67" s="39" t="n"/>
    </row>
    <row r="68" ht="18" customHeigh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40">
        <f>IF(G68="","",G68*H68)</f>
        <v/>
      </c>
      <c r="J68" s="39" t="n"/>
      <c r="K68" s="39" t="n"/>
      <c r="L68" s="39" t="n"/>
      <c r="M68" s="39" t="n"/>
    </row>
    <row r="69" ht="18" customHeigh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0">
        <f>IF(G69="","",G69*H69)</f>
        <v/>
      </c>
      <c r="J69" s="39" t="n"/>
      <c r="K69" s="39" t="n"/>
      <c r="L69" s="39" t="n"/>
      <c r="M69" s="39" t="n"/>
    </row>
    <row r="70" ht="18" customHeight="1">
      <c r="A70" s="39" t="n"/>
      <c r="B70" s="39" t="n"/>
      <c r="C70" s="39" t="n"/>
      <c r="D70" s="39" t="n"/>
      <c r="E70" s="39" t="n"/>
      <c r="F70" s="39" t="n"/>
      <c r="G70" s="39" t="n"/>
      <c r="H70" s="39" t="n"/>
      <c r="I70" s="40">
        <f>IF(G70="","",G70*H70)</f>
        <v/>
      </c>
      <c r="J70" s="39" t="n"/>
      <c r="K70" s="39" t="n"/>
      <c r="L70" s="39" t="n"/>
      <c r="M70" s="39" t="n"/>
    </row>
    <row r="71" ht="18" customHeight="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0">
        <f>IF(G71="","",G71*H71)</f>
        <v/>
      </c>
      <c r="J71" s="39" t="n"/>
      <c r="K71" s="39" t="n"/>
      <c r="L71" s="39" t="n"/>
      <c r="M71" s="39" t="n"/>
    </row>
    <row r="72" ht="18" customHeight="1">
      <c r="A72" s="39" t="n"/>
      <c r="B72" s="39" t="n"/>
      <c r="C72" s="39" t="n"/>
      <c r="D72" s="39" t="n"/>
      <c r="E72" s="39" t="n"/>
      <c r="F72" s="39" t="n"/>
      <c r="G72" s="39" t="n"/>
      <c r="H72" s="39" t="n"/>
      <c r="I72" s="40">
        <f>IF(G72="","",G72*H72)</f>
        <v/>
      </c>
      <c r="J72" s="39" t="n"/>
      <c r="K72" s="39" t="n"/>
      <c r="L72" s="39" t="n"/>
      <c r="M72" s="39" t="n"/>
    </row>
    <row r="73" ht="18" customHeight="1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0">
        <f>IF(G73="","",G73*H73)</f>
        <v/>
      </c>
      <c r="J73" s="39" t="n"/>
      <c r="K73" s="39" t="n"/>
      <c r="L73" s="39" t="n"/>
      <c r="M73" s="39" t="n"/>
    </row>
    <row r="74" ht="18" customHeight="1">
      <c r="A74" s="39" t="n"/>
      <c r="B74" s="39" t="n"/>
      <c r="C74" s="39" t="n"/>
      <c r="D74" s="39" t="n"/>
      <c r="E74" s="39" t="n"/>
      <c r="F74" s="39" t="n"/>
      <c r="G74" s="39" t="n"/>
      <c r="H74" s="39" t="n"/>
      <c r="I74" s="40">
        <f>IF(G74="","",G74*H74)</f>
        <v/>
      </c>
      <c r="J74" s="39" t="n"/>
      <c r="K74" s="39" t="n"/>
      <c r="L74" s="39" t="n"/>
      <c r="M74" s="39" t="n"/>
    </row>
    <row r="75" ht="18" customHeight="1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0">
        <f>IF(G75="","",G75*H75)</f>
        <v/>
      </c>
      <c r="J75" s="39" t="n"/>
      <c r="K75" s="39" t="n"/>
      <c r="L75" s="39" t="n"/>
      <c r="M75" s="39" t="n"/>
    </row>
    <row r="76" ht="18" customHeight="1">
      <c r="A76" s="39" t="n"/>
      <c r="B76" s="39" t="n"/>
      <c r="C76" s="39" t="n"/>
      <c r="D76" s="39" t="n"/>
      <c r="E76" s="39" t="n"/>
      <c r="F76" s="39" t="n"/>
      <c r="G76" s="39" t="n"/>
      <c r="H76" s="39" t="n"/>
      <c r="I76" s="40">
        <f>IF(G76="","",G76*H76)</f>
        <v/>
      </c>
      <c r="J76" s="39" t="n"/>
      <c r="K76" s="39" t="n"/>
      <c r="L76" s="39" t="n"/>
      <c r="M76" s="39" t="n"/>
    </row>
    <row r="77" ht="18" customHeight="1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0">
        <f>IF(G77="","",G77*H77)</f>
        <v/>
      </c>
      <c r="J77" s="39" t="n"/>
      <c r="K77" s="39" t="n"/>
      <c r="L77" s="39" t="n"/>
      <c r="M77" s="39" t="n"/>
    </row>
    <row r="78" ht="18" customHeight="1">
      <c r="A78" s="39" t="n"/>
      <c r="B78" s="39" t="n"/>
      <c r="C78" s="39" t="n"/>
      <c r="D78" s="39" t="n"/>
      <c r="E78" s="39" t="n"/>
      <c r="F78" s="39" t="n"/>
      <c r="G78" s="39" t="n"/>
      <c r="H78" s="39" t="n"/>
      <c r="I78" s="40">
        <f>IF(G78="","",G78*H78)</f>
        <v/>
      </c>
      <c r="J78" s="39" t="n"/>
      <c r="K78" s="39" t="n"/>
      <c r="L78" s="39" t="n"/>
      <c r="M78" s="39" t="n"/>
    </row>
    <row r="79" ht="18" customHeight="1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0">
        <f>IF(G79="","",G79*H79)</f>
        <v/>
      </c>
      <c r="J79" s="39" t="n"/>
      <c r="K79" s="39" t="n"/>
      <c r="L79" s="39" t="n"/>
      <c r="M79" s="39" t="n"/>
    </row>
    <row r="80" ht="18" customHeight="1">
      <c r="A80" s="39" t="n"/>
      <c r="B80" s="39" t="n"/>
      <c r="C80" s="39" t="n"/>
      <c r="D80" s="39" t="n"/>
      <c r="E80" s="39" t="n"/>
      <c r="F80" s="39" t="n"/>
      <c r="G80" s="39" t="n"/>
      <c r="H80" s="39" t="n"/>
      <c r="I80" s="40">
        <f>IF(G80="","",G80*H80)</f>
        <v/>
      </c>
      <c r="J80" s="39" t="n"/>
      <c r="K80" s="39" t="n"/>
      <c r="L80" s="39" t="n"/>
      <c r="M80" s="39" t="n"/>
    </row>
    <row r="81" ht="18" customHeight="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0">
        <f>IF(G81="","",G81*H81)</f>
        <v/>
      </c>
      <c r="J81" s="39" t="n"/>
      <c r="K81" s="39" t="n"/>
      <c r="L81" s="39" t="n"/>
      <c r="M81" s="39" t="n"/>
    </row>
    <row r="82" ht="18" customHeight="1">
      <c r="A82" s="39" t="n"/>
      <c r="B82" s="39" t="n"/>
      <c r="C82" s="39" t="n"/>
      <c r="D82" s="39" t="n"/>
      <c r="E82" s="39" t="n"/>
      <c r="F82" s="39" t="n"/>
      <c r="G82" s="39" t="n"/>
      <c r="H82" s="39" t="n"/>
      <c r="I82" s="40">
        <f>IF(G82="","",G82*H82)</f>
        <v/>
      </c>
      <c r="J82" s="39" t="n"/>
      <c r="K82" s="39" t="n"/>
      <c r="L82" s="39" t="n"/>
      <c r="M82" s="39" t="n"/>
    </row>
    <row r="83" ht="18" customHeight="1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0">
        <f>IF(G83="","",G83*H83)</f>
        <v/>
      </c>
      <c r="J83" s="39" t="n"/>
      <c r="K83" s="39" t="n"/>
      <c r="L83" s="39" t="n"/>
      <c r="M83" s="39" t="n"/>
    </row>
    <row r="84" ht="18" customHeight="1">
      <c r="A84" s="39" t="n"/>
      <c r="B84" s="39" t="n"/>
      <c r="C84" s="39" t="n"/>
      <c r="D84" s="39" t="n"/>
      <c r="E84" s="39" t="n"/>
      <c r="F84" s="39" t="n"/>
      <c r="G84" s="39" t="n"/>
      <c r="H84" s="39" t="n"/>
      <c r="I84" s="40">
        <f>IF(G84="","",G84*H84)</f>
        <v/>
      </c>
      <c r="J84" s="39" t="n"/>
      <c r="K84" s="39" t="n"/>
      <c r="L84" s="39" t="n"/>
      <c r="M84" s="39" t="n"/>
    </row>
    <row r="85" ht="18" customHeight="1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0">
        <f>IF(G85="","",G85*H85)</f>
        <v/>
      </c>
      <c r="J85" s="39" t="n"/>
      <c r="K85" s="39" t="n"/>
      <c r="L85" s="39" t="n"/>
      <c r="M85" s="39" t="n"/>
    </row>
    <row r="86" ht="18" customHeight="1">
      <c r="A86" s="39" t="n"/>
      <c r="B86" s="39" t="n"/>
      <c r="C86" s="39" t="n"/>
      <c r="D86" s="39" t="n"/>
      <c r="E86" s="39" t="n"/>
      <c r="F86" s="39" t="n"/>
      <c r="G86" s="39" t="n"/>
      <c r="H86" s="39" t="n"/>
      <c r="I86" s="40">
        <f>IF(G86="","",G86*H86)</f>
        <v/>
      </c>
      <c r="J86" s="39" t="n"/>
      <c r="K86" s="39" t="n"/>
      <c r="L86" s="39" t="n"/>
      <c r="M86" s="39" t="n"/>
    </row>
    <row r="87" ht="18" customHeight="1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0">
        <f>IF(G87="","",G87*H87)</f>
        <v/>
      </c>
      <c r="J87" s="39" t="n"/>
      <c r="K87" s="39" t="n"/>
      <c r="L87" s="39" t="n"/>
      <c r="M87" s="39" t="n"/>
    </row>
    <row r="88" ht="18" customHeight="1">
      <c r="A88" s="39" t="n"/>
      <c r="B88" s="39" t="n"/>
      <c r="C88" s="39" t="n"/>
      <c r="D88" s="39" t="n"/>
      <c r="E88" s="39" t="n"/>
      <c r="F88" s="39" t="n"/>
      <c r="G88" s="39" t="n"/>
      <c r="H88" s="39" t="n"/>
      <c r="I88" s="40">
        <f>IF(G88="","",G88*H88)</f>
        <v/>
      </c>
      <c r="J88" s="39" t="n"/>
      <c r="K88" s="39" t="n"/>
      <c r="L88" s="39" t="n"/>
      <c r="M88" s="39" t="n"/>
    </row>
    <row r="89" ht="18" customHeight="1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0">
        <f>IF(G89="","",G89*H89)</f>
        <v/>
      </c>
      <c r="J89" s="39" t="n"/>
      <c r="K89" s="39" t="n"/>
      <c r="L89" s="39" t="n"/>
      <c r="M89" s="39" t="n"/>
    </row>
    <row r="90" ht="18" customHeight="1">
      <c r="A90" s="39" t="n"/>
      <c r="B90" s="39" t="n"/>
      <c r="C90" s="39" t="n"/>
      <c r="D90" s="39" t="n"/>
      <c r="E90" s="39" t="n"/>
      <c r="F90" s="39" t="n"/>
      <c r="G90" s="39" t="n"/>
      <c r="H90" s="39" t="n"/>
      <c r="I90" s="40">
        <f>IF(G90="","",G90*H90)</f>
        <v/>
      </c>
      <c r="J90" s="39" t="n"/>
      <c r="K90" s="39" t="n"/>
      <c r="L90" s="39" t="n"/>
      <c r="M90" s="39" t="n"/>
    </row>
    <row r="91" ht="18" customHeight="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0">
        <f>IF(G91="","",G91*H91)</f>
        <v/>
      </c>
      <c r="J91" s="39" t="n"/>
      <c r="K91" s="39" t="n"/>
      <c r="L91" s="39" t="n"/>
      <c r="M91" s="39" t="n"/>
    </row>
    <row r="92" ht="18" customHeight="1">
      <c r="A92" s="39" t="n"/>
      <c r="B92" s="39" t="n"/>
      <c r="C92" s="39" t="n"/>
      <c r="D92" s="39" t="n"/>
      <c r="E92" s="39" t="n"/>
      <c r="F92" s="39" t="n"/>
      <c r="G92" s="39" t="n"/>
      <c r="H92" s="39" t="n"/>
      <c r="I92" s="40">
        <f>IF(G92="","",G92*H92)</f>
        <v/>
      </c>
      <c r="J92" s="39" t="n"/>
      <c r="K92" s="39" t="n"/>
      <c r="L92" s="39" t="n"/>
      <c r="M92" s="39" t="n"/>
    </row>
    <row r="93" ht="18" customHeight="1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0">
        <f>IF(G93="","",G93*H93)</f>
        <v/>
      </c>
      <c r="J93" s="39" t="n"/>
      <c r="K93" s="39" t="n"/>
      <c r="L93" s="39" t="n"/>
      <c r="M93" s="39" t="n"/>
    </row>
    <row r="94" ht="18" customHeight="1">
      <c r="A94" s="39" t="n"/>
      <c r="B94" s="39" t="n"/>
      <c r="C94" s="39" t="n"/>
      <c r="D94" s="39" t="n"/>
      <c r="E94" s="39" t="n"/>
      <c r="F94" s="39" t="n"/>
      <c r="G94" s="39" t="n"/>
      <c r="H94" s="39" t="n"/>
      <c r="I94" s="40">
        <f>IF(G94="","",G94*H94)</f>
        <v/>
      </c>
      <c r="J94" s="39" t="n"/>
      <c r="K94" s="39" t="n"/>
      <c r="L94" s="39" t="n"/>
      <c r="M94" s="39" t="n"/>
    </row>
    <row r="95" ht="18" customHeight="1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0">
        <f>IF(G95="","",G95*H95)</f>
        <v/>
      </c>
      <c r="J95" s="39" t="n"/>
      <c r="K95" s="39" t="n"/>
      <c r="L95" s="39" t="n"/>
      <c r="M95" s="39" t="n"/>
    </row>
    <row r="96" ht="18" customHeight="1">
      <c r="A96" s="39" t="n"/>
      <c r="B96" s="39" t="n"/>
      <c r="C96" s="39" t="n"/>
      <c r="D96" s="39" t="n"/>
      <c r="E96" s="39" t="n"/>
      <c r="F96" s="39" t="n"/>
      <c r="G96" s="39" t="n"/>
      <c r="H96" s="39" t="n"/>
      <c r="I96" s="40">
        <f>IF(G96="","",G96*H96)</f>
        <v/>
      </c>
      <c r="J96" s="39" t="n"/>
      <c r="K96" s="39" t="n"/>
      <c r="L96" s="39" t="n"/>
      <c r="M96" s="39" t="n"/>
    </row>
    <row r="97" ht="18" customHeight="1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0">
        <f>IF(G97="","",G97*H97)</f>
        <v/>
      </c>
      <c r="J97" s="39" t="n"/>
      <c r="K97" s="39" t="n"/>
      <c r="L97" s="39" t="n"/>
      <c r="M97" s="39" t="n"/>
    </row>
    <row r="98" ht="18" customHeight="1">
      <c r="A98" s="39" t="n"/>
      <c r="B98" s="39" t="n"/>
      <c r="C98" s="39" t="n"/>
      <c r="D98" s="39" t="n"/>
      <c r="E98" s="39" t="n"/>
      <c r="F98" s="39" t="n"/>
      <c r="G98" s="39" t="n"/>
      <c r="H98" s="39" t="n"/>
      <c r="I98" s="40">
        <f>IF(G98="","",G98*H98)</f>
        <v/>
      </c>
      <c r="J98" s="39" t="n"/>
      <c r="K98" s="39" t="n"/>
      <c r="L98" s="39" t="n"/>
      <c r="M98" s="39" t="n"/>
    </row>
    <row r="99" ht="18" customHeight="1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0">
        <f>IF(G99="","",G99*H99)</f>
        <v/>
      </c>
      <c r="J99" s="39" t="n"/>
      <c r="K99" s="39" t="n"/>
      <c r="L99" s="39" t="n"/>
      <c r="M99" s="39" t="n"/>
    </row>
    <row r="100" ht="18" customHeight="1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40">
        <f>IF(G100="","",G100*H100)</f>
        <v/>
      </c>
      <c r="J100" s="39" t="n"/>
      <c r="K100" s="39" t="n"/>
      <c r="L100" s="39" t="n"/>
      <c r="M100" s="39" t="n"/>
    </row>
    <row r="101" ht="18" customHeight="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0">
        <f>IF(G101="","",G101*H101)</f>
        <v/>
      </c>
      <c r="J101" s="39" t="n"/>
      <c r="K101" s="39" t="n"/>
      <c r="L101" s="39" t="n"/>
      <c r="M101" s="39" t="n"/>
    </row>
    <row r="102" ht="18" customHeight="1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40">
        <f>IF(G102="","",G102*H102)</f>
        <v/>
      </c>
      <c r="J102" s="39" t="n"/>
      <c r="K102" s="39" t="n"/>
      <c r="L102" s="39" t="n"/>
      <c r="M102" s="39" t="n"/>
    </row>
    <row r="103" ht="18" customHeight="1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0">
        <f>IF(G103="","",G103*H103)</f>
        <v/>
      </c>
      <c r="J103" s="39" t="n"/>
      <c r="K103" s="39" t="n"/>
      <c r="L103" s="39" t="n"/>
      <c r="M103" s="39" t="n"/>
    </row>
    <row r="104" ht="18" customHeight="1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40">
        <f>IF(G104="","",G104*H104)</f>
        <v/>
      </c>
      <c r="J104" s="39" t="n"/>
      <c r="K104" s="39" t="n"/>
      <c r="L104" s="39" t="n"/>
      <c r="M104" s="39" t="n"/>
    </row>
    <row r="105" ht="18" customHeight="1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0">
        <f>IF(G105="","",G105*H105)</f>
        <v/>
      </c>
      <c r="J105" s="39" t="n"/>
      <c r="K105" s="39" t="n"/>
      <c r="L105" s="39" t="n"/>
      <c r="M105" s="39" t="n"/>
    </row>
    <row r="106" ht="18" customHeight="1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40">
        <f>IF(G106="","",G106*H106)</f>
        <v/>
      </c>
      <c r="J106" s="39" t="n"/>
      <c r="K106" s="39" t="n"/>
      <c r="L106" s="39" t="n"/>
      <c r="M106" s="39" t="n"/>
    </row>
    <row r="107" ht="18" customHeight="1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40">
        <f>IF(G107="","",G107*H107)</f>
        <v/>
      </c>
      <c r="J107" s="39" t="n"/>
      <c r="K107" s="39" t="n"/>
      <c r="L107" s="39" t="n"/>
      <c r="M107" s="39" t="n"/>
    </row>
    <row r="108" ht="18" customHeight="1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40">
        <f>IF(G108="","",G108*H108)</f>
        <v/>
      </c>
      <c r="J108" s="39" t="n"/>
      <c r="K108" s="39" t="n"/>
      <c r="L108" s="39" t="n"/>
      <c r="M108" s="39" t="n"/>
    </row>
    <row r="109" ht="18" customHeight="1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40">
        <f>IF(G109="","",G109*H109)</f>
        <v/>
      </c>
      <c r="J109" s="39" t="n"/>
      <c r="K109" s="39" t="n"/>
      <c r="L109" s="39" t="n"/>
      <c r="M109" s="39" t="n"/>
    </row>
    <row r="110" ht="18" customHeight="1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40">
        <f>IF(G110="","",G110*H110)</f>
        <v/>
      </c>
      <c r="J110" s="39" t="n"/>
      <c r="K110" s="39" t="n"/>
      <c r="L110" s="39" t="n"/>
      <c r="M110" s="39" t="n"/>
    </row>
    <row r="111" ht="18" customHeight="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40">
        <f>IF(G111="","",G111*H111)</f>
        <v/>
      </c>
      <c r="J111" s="39" t="n"/>
      <c r="K111" s="39" t="n"/>
      <c r="L111" s="39" t="n"/>
      <c r="M111" s="39" t="n"/>
    </row>
    <row r="112" ht="18" customHeight="1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40">
        <f>IF(G112="","",G112*H112)</f>
        <v/>
      </c>
      <c r="J112" s="39" t="n"/>
      <c r="K112" s="39" t="n"/>
      <c r="L112" s="39" t="n"/>
      <c r="M112" s="39" t="n"/>
    </row>
    <row r="113" ht="18" customHeight="1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40">
        <f>IF(G113="","",G113*H113)</f>
        <v/>
      </c>
      <c r="J113" s="39" t="n"/>
      <c r="K113" s="39" t="n"/>
      <c r="L113" s="39" t="n"/>
      <c r="M113" s="39" t="n"/>
    </row>
    <row r="114" ht="18" customHeight="1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40">
        <f>IF(G114="","",G114*H114)</f>
        <v/>
      </c>
      <c r="J114" s="39" t="n"/>
      <c r="K114" s="39" t="n"/>
      <c r="L114" s="39" t="n"/>
      <c r="M114" s="39" t="n"/>
    </row>
    <row r="115" ht="18" customHeight="1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40">
        <f>IF(G115="","",G115*H115)</f>
        <v/>
      </c>
      <c r="J115" s="39" t="n"/>
      <c r="K115" s="39" t="n"/>
      <c r="L115" s="39" t="n"/>
      <c r="M115" s="39" t="n"/>
    </row>
    <row r="116" ht="18" customHeight="1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40">
        <f>IF(G116="","",G116*H116)</f>
        <v/>
      </c>
      <c r="J116" s="39" t="n"/>
      <c r="K116" s="39" t="n"/>
      <c r="L116" s="39" t="n"/>
      <c r="M116" s="39" t="n"/>
    </row>
    <row r="117" ht="18" customHeight="1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40">
        <f>IF(G117="","",G117*H117)</f>
        <v/>
      </c>
      <c r="J117" s="39" t="n"/>
      <c r="K117" s="39" t="n"/>
      <c r="L117" s="39" t="n"/>
      <c r="M117" s="39" t="n"/>
    </row>
    <row r="118" ht="18" customHeight="1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40">
        <f>IF(G118="","",G118*H118)</f>
        <v/>
      </c>
      <c r="J118" s="39" t="n"/>
      <c r="K118" s="39" t="n"/>
      <c r="L118" s="39" t="n"/>
      <c r="M118" s="39" t="n"/>
    </row>
    <row r="119" ht="18" customHeight="1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40">
        <f>IF(G119="","",G119*H119)</f>
        <v/>
      </c>
      <c r="J119" s="39" t="n"/>
      <c r="K119" s="39" t="n"/>
      <c r="L119" s="39" t="n"/>
      <c r="M119" s="39" t="n"/>
    </row>
    <row r="120" ht="18" customHeight="1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40">
        <f>IF(G120="","",G120*H120)</f>
        <v/>
      </c>
      <c r="J120" s="39" t="n"/>
      <c r="K120" s="39" t="n"/>
      <c r="L120" s="39" t="n"/>
      <c r="M120" s="39" t="n"/>
    </row>
    <row r="121" ht="18" customHeight="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40">
        <f>IF(G121="","",G121*H121)</f>
        <v/>
      </c>
      <c r="J121" s="39" t="n"/>
      <c r="K121" s="39" t="n"/>
      <c r="L121" s="39" t="n"/>
      <c r="M121" s="39" t="n"/>
    </row>
    <row r="122" ht="18" customHeight="1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40">
        <f>IF(G122="","",G122*H122)</f>
        <v/>
      </c>
      <c r="J122" s="39" t="n"/>
      <c r="K122" s="39" t="n"/>
      <c r="L122" s="39" t="n"/>
      <c r="M122" s="39" t="n"/>
    </row>
    <row r="123" ht="18" customHeight="1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40">
        <f>IF(G123="","",G123*H123)</f>
        <v/>
      </c>
      <c r="J123" s="39" t="n"/>
      <c r="K123" s="39" t="n"/>
      <c r="L123" s="39" t="n"/>
      <c r="M123" s="39" t="n"/>
    </row>
    <row r="124" ht="18" customHeight="1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40">
        <f>IF(G124="","",G124*H124)</f>
        <v/>
      </c>
      <c r="J124" s="39" t="n"/>
      <c r="K124" s="39" t="n"/>
      <c r="L124" s="39" t="n"/>
      <c r="M124" s="39" t="n"/>
    </row>
    <row r="125" ht="18" customHeight="1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40">
        <f>IF(G125="","",G125*H125)</f>
        <v/>
      </c>
      <c r="J125" s="39" t="n"/>
      <c r="K125" s="39" t="n"/>
      <c r="L125" s="39" t="n"/>
      <c r="M125" s="39" t="n"/>
    </row>
    <row r="126" ht="18" customHeight="1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40">
        <f>IF(G126="","",G126*H126)</f>
        <v/>
      </c>
      <c r="J126" s="39" t="n"/>
      <c r="K126" s="39" t="n"/>
      <c r="L126" s="39" t="n"/>
      <c r="M126" s="39" t="n"/>
    </row>
    <row r="127" ht="18" customHeight="1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40">
        <f>IF(G127="","",G127*H127)</f>
        <v/>
      </c>
      <c r="J127" s="39" t="n"/>
      <c r="K127" s="39" t="n"/>
      <c r="L127" s="39" t="n"/>
      <c r="M127" s="39" t="n"/>
    </row>
    <row r="128" ht="18" customHeight="1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40">
        <f>IF(G128="","",G128*H128)</f>
        <v/>
      </c>
      <c r="J128" s="39" t="n"/>
      <c r="K128" s="39" t="n"/>
      <c r="L128" s="39" t="n"/>
      <c r="M128" s="39" t="n"/>
    </row>
    <row r="129" ht="18" customHeight="1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40">
        <f>IF(G129="","",G129*H129)</f>
        <v/>
      </c>
      <c r="J129" s="39" t="n"/>
      <c r="K129" s="39" t="n"/>
      <c r="L129" s="39" t="n"/>
      <c r="M129" s="39" t="n"/>
    </row>
    <row r="130" ht="18" customHeight="1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40">
        <f>IF(G130="","",G130*H130)</f>
        <v/>
      </c>
      <c r="J130" s="39" t="n"/>
      <c r="K130" s="39" t="n"/>
      <c r="L130" s="39" t="n"/>
      <c r="M130" s="39" t="n"/>
    </row>
    <row r="131" ht="18" customHeight="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40">
        <f>IF(G131="","",G131*H131)</f>
        <v/>
      </c>
      <c r="J131" s="39" t="n"/>
      <c r="K131" s="39" t="n"/>
      <c r="L131" s="39" t="n"/>
      <c r="M131" s="39" t="n"/>
    </row>
    <row r="132" ht="18" customHeight="1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40">
        <f>IF(G132="","",G132*H132)</f>
        <v/>
      </c>
      <c r="J132" s="39" t="n"/>
      <c r="K132" s="39" t="n"/>
      <c r="L132" s="39" t="n"/>
      <c r="M132" s="39" t="n"/>
    </row>
    <row r="133" ht="18" customHeight="1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40">
        <f>IF(G133="","",G133*H133)</f>
        <v/>
      </c>
      <c r="J133" s="39" t="n"/>
      <c r="K133" s="39" t="n"/>
      <c r="L133" s="39" t="n"/>
      <c r="M133" s="39" t="n"/>
    </row>
    <row r="134" ht="18" customHeight="1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40">
        <f>IF(G134="","",G134*H134)</f>
        <v/>
      </c>
      <c r="J134" s="39" t="n"/>
      <c r="K134" s="39" t="n"/>
      <c r="L134" s="39" t="n"/>
      <c r="M134" s="39" t="n"/>
    </row>
    <row r="135" ht="18" customHeight="1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40">
        <f>IF(G135="","",G135*H135)</f>
        <v/>
      </c>
      <c r="J135" s="39" t="n"/>
      <c r="K135" s="39" t="n"/>
      <c r="L135" s="39" t="n"/>
      <c r="M135" s="39" t="n"/>
    </row>
    <row r="136" ht="18" customHeight="1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40">
        <f>IF(G136="","",G136*H136)</f>
        <v/>
      </c>
      <c r="J136" s="39" t="n"/>
      <c r="K136" s="39" t="n"/>
      <c r="L136" s="39" t="n"/>
      <c r="M136" s="39" t="n"/>
    </row>
    <row r="137" ht="18" customHeight="1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40">
        <f>IF(G137="","",G137*H137)</f>
        <v/>
      </c>
      <c r="J137" s="39" t="n"/>
      <c r="K137" s="39" t="n"/>
      <c r="L137" s="39" t="n"/>
      <c r="M137" s="39" t="n"/>
    </row>
    <row r="138" ht="18" customHeight="1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40">
        <f>IF(G138="","",G138*H138)</f>
        <v/>
      </c>
      <c r="J138" s="39" t="n"/>
      <c r="K138" s="39" t="n"/>
      <c r="L138" s="39" t="n"/>
      <c r="M138" s="39" t="n"/>
    </row>
    <row r="139" ht="18" customHeight="1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40">
        <f>IF(G139="","",G139*H139)</f>
        <v/>
      </c>
      <c r="J139" s="39" t="n"/>
      <c r="K139" s="39" t="n"/>
      <c r="L139" s="39" t="n"/>
      <c r="M139" s="39" t="n"/>
    </row>
    <row r="140" ht="18" customHeight="1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40">
        <f>IF(G140="","",G140*H140)</f>
        <v/>
      </c>
      <c r="J140" s="39" t="n"/>
      <c r="K140" s="39" t="n"/>
      <c r="L140" s="39" t="n"/>
      <c r="M140" s="39" t="n"/>
    </row>
    <row r="141" ht="18" customHeight="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40">
        <f>IF(G141="","",G141*H141)</f>
        <v/>
      </c>
      <c r="J141" s="39" t="n"/>
      <c r="K141" s="39" t="n"/>
      <c r="L141" s="39" t="n"/>
      <c r="M141" s="39" t="n"/>
    </row>
    <row r="142" ht="18" customHeight="1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40">
        <f>IF(G142="","",G142*H142)</f>
        <v/>
      </c>
      <c r="J142" s="39" t="n"/>
      <c r="K142" s="39" t="n"/>
      <c r="L142" s="39" t="n"/>
      <c r="M142" s="39" t="n"/>
    </row>
    <row r="143" ht="18" customHeight="1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40">
        <f>IF(G143="","",G143*H143)</f>
        <v/>
      </c>
      <c r="J143" s="39" t="n"/>
      <c r="K143" s="39" t="n"/>
      <c r="L143" s="39" t="n"/>
      <c r="M143" s="39" t="n"/>
    </row>
    <row r="144" ht="18" customHeight="1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40">
        <f>IF(G144="","",G144*H144)</f>
        <v/>
      </c>
      <c r="J144" s="39" t="n"/>
      <c r="K144" s="39" t="n"/>
      <c r="L144" s="39" t="n"/>
      <c r="M144" s="39" t="n"/>
    </row>
    <row r="145" ht="18" customHeight="1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40">
        <f>IF(G145="","",G145*H145)</f>
        <v/>
      </c>
      <c r="J145" s="39" t="n"/>
      <c r="K145" s="39" t="n"/>
      <c r="L145" s="39" t="n"/>
      <c r="M145" s="39" t="n"/>
    </row>
    <row r="146" ht="18" customHeight="1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40">
        <f>IF(G146="","",G146*H146)</f>
        <v/>
      </c>
      <c r="J146" s="39" t="n"/>
      <c r="K146" s="39" t="n"/>
      <c r="L146" s="39" t="n"/>
      <c r="M146" s="39" t="n"/>
    </row>
    <row r="147" ht="18" customHeight="1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40">
        <f>IF(G147="","",G147*H147)</f>
        <v/>
      </c>
      <c r="J147" s="39" t="n"/>
      <c r="K147" s="39" t="n"/>
      <c r="L147" s="39" t="n"/>
      <c r="M147" s="39" t="n"/>
    </row>
    <row r="148" ht="18" customHeight="1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40">
        <f>IF(G148="","",G148*H148)</f>
        <v/>
      </c>
      <c r="J148" s="39" t="n"/>
      <c r="K148" s="39" t="n"/>
      <c r="L148" s="39" t="n"/>
      <c r="M148" s="39" t="n"/>
    </row>
    <row r="149" ht="18" customHeight="1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40">
        <f>IF(G149="","",G149*H149)</f>
        <v/>
      </c>
      <c r="J149" s="39" t="n"/>
      <c r="K149" s="39" t="n"/>
      <c r="L149" s="39" t="n"/>
      <c r="M149" s="39" t="n"/>
    </row>
    <row r="150" ht="18" customHeight="1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40">
        <f>IF(G150="","",G150*H150)</f>
        <v/>
      </c>
      <c r="J150" s="39" t="n"/>
      <c r="K150" s="39" t="n"/>
      <c r="L150" s="39" t="n"/>
      <c r="M150" s="39" t="n"/>
    </row>
    <row r="151" ht="18" customHeight="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40">
        <f>IF(G151="","",G151*H151)</f>
        <v/>
      </c>
      <c r="J151" s="39" t="n"/>
      <c r="K151" s="39" t="n"/>
      <c r="L151" s="39" t="n"/>
      <c r="M151" s="39" t="n"/>
    </row>
    <row r="152" ht="18" customHeight="1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40">
        <f>IF(G152="","",G152*H152)</f>
        <v/>
      </c>
      <c r="J152" s="39" t="n"/>
      <c r="K152" s="39" t="n"/>
      <c r="L152" s="39" t="n"/>
      <c r="M152" s="39" t="n"/>
    </row>
    <row r="153" ht="18" customHeight="1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40">
        <f>IF(G153="","",G153*H153)</f>
        <v/>
      </c>
      <c r="J153" s="39" t="n"/>
      <c r="K153" s="39" t="n"/>
      <c r="L153" s="39" t="n"/>
      <c r="M153" s="39" t="n"/>
    </row>
    <row r="154" ht="18" customHeight="1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40">
        <f>IF(G154="","",G154*H154)</f>
        <v/>
      </c>
      <c r="J154" s="39" t="n"/>
      <c r="K154" s="39" t="n"/>
      <c r="L154" s="39" t="n"/>
      <c r="M154" s="39" t="n"/>
    </row>
    <row r="155" ht="18" customHeight="1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40">
        <f>IF(G155="","",G155*H155)</f>
        <v/>
      </c>
      <c r="J155" s="39" t="n"/>
      <c r="K155" s="39" t="n"/>
      <c r="L155" s="39" t="n"/>
      <c r="M155" s="39" t="n"/>
    </row>
    <row r="156" ht="18" customHeight="1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40">
        <f>IF(G156="","",G156*H156)</f>
        <v/>
      </c>
      <c r="J156" s="39" t="n"/>
      <c r="K156" s="39" t="n"/>
      <c r="L156" s="39" t="n"/>
      <c r="M156" s="39" t="n"/>
    </row>
    <row r="157" ht="18" customHeight="1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40">
        <f>IF(G157="","",G157*H157)</f>
        <v/>
      </c>
      <c r="J157" s="39" t="n"/>
      <c r="K157" s="39" t="n"/>
      <c r="L157" s="39" t="n"/>
      <c r="M157" s="39" t="n"/>
    </row>
    <row r="158" ht="18" customHeight="1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40">
        <f>IF(G158="","",G158*H158)</f>
        <v/>
      </c>
      <c r="J158" s="39" t="n"/>
      <c r="K158" s="39" t="n"/>
      <c r="L158" s="39" t="n"/>
      <c r="M158" s="39" t="n"/>
    </row>
    <row r="159" ht="18" customHeight="1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40">
        <f>IF(G159="","",G159*H159)</f>
        <v/>
      </c>
      <c r="J159" s="39" t="n"/>
      <c r="K159" s="39" t="n"/>
      <c r="L159" s="39" t="n"/>
      <c r="M159" s="39" t="n"/>
    </row>
    <row r="160" ht="18" customHeight="1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40">
        <f>IF(G160="","",G160*H160)</f>
        <v/>
      </c>
      <c r="J160" s="39" t="n"/>
      <c r="K160" s="39" t="n"/>
      <c r="L160" s="39" t="n"/>
      <c r="M160" s="39" t="n"/>
    </row>
    <row r="161" ht="18" customHeight="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40">
        <f>IF(G161="","",G161*H161)</f>
        <v/>
      </c>
      <c r="J161" s="39" t="n"/>
      <c r="K161" s="39" t="n"/>
      <c r="L161" s="39" t="n"/>
      <c r="M161" s="39" t="n"/>
    </row>
    <row r="162" ht="18" customHeight="1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40">
        <f>IF(G162="","",G162*H162)</f>
        <v/>
      </c>
      <c r="J162" s="39" t="n"/>
      <c r="K162" s="39" t="n"/>
      <c r="L162" s="39" t="n"/>
      <c r="M162" s="39" t="n"/>
    </row>
    <row r="163" ht="18" customHeight="1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40">
        <f>IF(G163="","",G163*H163)</f>
        <v/>
      </c>
      <c r="J163" s="39" t="n"/>
      <c r="K163" s="39" t="n"/>
      <c r="L163" s="39" t="n"/>
      <c r="M163" s="39" t="n"/>
    </row>
    <row r="164" ht="18" customHeight="1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40">
        <f>IF(G164="","",G164*H164)</f>
        <v/>
      </c>
      <c r="J164" s="39" t="n"/>
      <c r="K164" s="39" t="n"/>
      <c r="L164" s="39" t="n"/>
      <c r="M164" s="39" t="n"/>
    </row>
    <row r="165" ht="18" customHeight="1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40">
        <f>IF(G165="","",G165*H165)</f>
        <v/>
      </c>
      <c r="J165" s="39" t="n"/>
      <c r="K165" s="39" t="n"/>
      <c r="L165" s="39" t="n"/>
      <c r="M165" s="39" t="n"/>
    </row>
    <row r="166" ht="18" customHeight="1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40">
        <f>IF(G166="","",G166*H166)</f>
        <v/>
      </c>
      <c r="J166" s="39" t="n"/>
      <c r="K166" s="39" t="n"/>
      <c r="L166" s="39" t="n"/>
      <c r="M166" s="39" t="n"/>
    </row>
    <row r="167" ht="18" customHeight="1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40">
        <f>IF(G167="","",G167*H167)</f>
        <v/>
      </c>
      <c r="J167" s="39" t="n"/>
      <c r="K167" s="39" t="n"/>
      <c r="L167" s="39" t="n"/>
      <c r="M167" s="39" t="n"/>
    </row>
    <row r="168" ht="18" customHeight="1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40">
        <f>IF(G168="","",G168*H168)</f>
        <v/>
      </c>
      <c r="J168" s="39" t="n"/>
      <c r="K168" s="39" t="n"/>
      <c r="L168" s="39" t="n"/>
      <c r="M168" s="39" t="n"/>
    </row>
    <row r="169" ht="18" customHeight="1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40">
        <f>IF(G169="","",G169*H169)</f>
        <v/>
      </c>
      <c r="J169" s="39" t="n"/>
      <c r="K169" s="39" t="n"/>
      <c r="L169" s="39" t="n"/>
      <c r="M169" s="39" t="n"/>
    </row>
    <row r="170" ht="18" customHeight="1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40">
        <f>IF(G170="","",G170*H170)</f>
        <v/>
      </c>
      <c r="J170" s="39" t="n"/>
      <c r="K170" s="39" t="n"/>
      <c r="L170" s="39" t="n"/>
      <c r="M170" s="39" t="n"/>
    </row>
    <row r="171" ht="18" customHeight="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40">
        <f>IF(G171="","",G171*H171)</f>
        <v/>
      </c>
      <c r="J171" s="39" t="n"/>
      <c r="K171" s="39" t="n"/>
      <c r="L171" s="39" t="n"/>
      <c r="M171" s="39" t="n"/>
    </row>
    <row r="172" ht="18" customHeight="1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40">
        <f>IF(G172="","",G172*H172)</f>
        <v/>
      </c>
      <c r="J172" s="39" t="n"/>
      <c r="K172" s="39" t="n"/>
      <c r="L172" s="39" t="n"/>
      <c r="M172" s="39" t="n"/>
    </row>
    <row r="173" ht="18" customHeight="1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40">
        <f>IF(G173="","",G173*H173)</f>
        <v/>
      </c>
      <c r="J173" s="39" t="n"/>
      <c r="K173" s="39" t="n"/>
      <c r="L173" s="39" t="n"/>
      <c r="M173" s="39" t="n"/>
    </row>
    <row r="174" ht="18" customHeight="1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40">
        <f>IF(G174="","",G174*H174)</f>
        <v/>
      </c>
      <c r="J174" s="39" t="n"/>
      <c r="K174" s="39" t="n"/>
      <c r="L174" s="39" t="n"/>
      <c r="M174" s="39" t="n"/>
    </row>
    <row r="175" ht="18" customHeight="1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40">
        <f>IF(G175="","",G175*H175)</f>
        <v/>
      </c>
      <c r="J175" s="39" t="n"/>
      <c r="K175" s="39" t="n"/>
      <c r="L175" s="39" t="n"/>
      <c r="M175" s="39" t="n"/>
    </row>
    <row r="176" ht="18" customHeight="1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40">
        <f>IF(G176="","",G176*H176)</f>
        <v/>
      </c>
      <c r="J176" s="39" t="n"/>
      <c r="K176" s="39" t="n"/>
      <c r="L176" s="39" t="n"/>
      <c r="M176" s="39" t="n"/>
    </row>
    <row r="177" ht="18" customHeight="1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40">
        <f>IF(G177="","",G177*H177)</f>
        <v/>
      </c>
      <c r="J177" s="39" t="n"/>
      <c r="K177" s="39" t="n"/>
      <c r="L177" s="39" t="n"/>
      <c r="M177" s="39" t="n"/>
    </row>
    <row r="178" ht="18" customHeight="1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40">
        <f>IF(G178="","",G178*H178)</f>
        <v/>
      </c>
      <c r="J178" s="39" t="n"/>
      <c r="K178" s="39" t="n"/>
      <c r="L178" s="39" t="n"/>
      <c r="M178" s="39" t="n"/>
    </row>
    <row r="179" ht="18" customHeight="1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40">
        <f>IF(G179="","",G179*H179)</f>
        <v/>
      </c>
      <c r="J179" s="39" t="n"/>
      <c r="K179" s="39" t="n"/>
      <c r="L179" s="39" t="n"/>
      <c r="M179" s="39" t="n"/>
    </row>
    <row r="180" ht="18" customHeight="1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40">
        <f>IF(G180="","",G180*H180)</f>
        <v/>
      </c>
      <c r="J180" s="39" t="n"/>
      <c r="K180" s="39" t="n"/>
      <c r="L180" s="39" t="n"/>
      <c r="M180" s="39" t="n"/>
    </row>
    <row r="181" ht="18" customHeight="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40">
        <f>IF(G181="","",G181*H181)</f>
        <v/>
      </c>
      <c r="J181" s="39" t="n"/>
      <c r="K181" s="39" t="n"/>
      <c r="L181" s="39" t="n"/>
      <c r="M181" s="39" t="n"/>
    </row>
    <row r="182" ht="18" customHeight="1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40">
        <f>IF(G182="","",G182*H182)</f>
        <v/>
      </c>
      <c r="J182" s="39" t="n"/>
      <c r="K182" s="39" t="n"/>
      <c r="L182" s="39" t="n"/>
      <c r="M182" s="39" t="n"/>
    </row>
    <row r="183" ht="18" customHeight="1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40">
        <f>IF(G183="","",G183*H183)</f>
        <v/>
      </c>
      <c r="J183" s="39" t="n"/>
      <c r="K183" s="39" t="n"/>
      <c r="L183" s="39" t="n"/>
      <c r="M183" s="39" t="n"/>
    </row>
    <row r="184" ht="18" customHeight="1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40">
        <f>IF(G184="","",G184*H184)</f>
        <v/>
      </c>
      <c r="J184" s="39" t="n"/>
      <c r="K184" s="39" t="n"/>
      <c r="L184" s="39" t="n"/>
      <c r="M184" s="39" t="n"/>
    </row>
    <row r="185" ht="18" customHeight="1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40">
        <f>IF(G185="","",G185*H185)</f>
        <v/>
      </c>
      <c r="J185" s="39" t="n"/>
      <c r="K185" s="39" t="n"/>
      <c r="L185" s="39" t="n"/>
      <c r="M185" s="39" t="n"/>
    </row>
    <row r="186" ht="18" customHeight="1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40">
        <f>IF(G186="","",G186*H186)</f>
        <v/>
      </c>
      <c r="J186" s="39" t="n"/>
      <c r="K186" s="39" t="n"/>
      <c r="L186" s="39" t="n"/>
      <c r="M186" s="39" t="n"/>
    </row>
    <row r="187" ht="18" customHeight="1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40">
        <f>IF(G187="","",G187*H187)</f>
        <v/>
      </c>
      <c r="J187" s="39" t="n"/>
      <c r="K187" s="39" t="n"/>
      <c r="L187" s="39" t="n"/>
      <c r="M187" s="39" t="n"/>
    </row>
    <row r="188" ht="18" customHeight="1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40">
        <f>IF(G188="","",G188*H188)</f>
        <v/>
      </c>
      <c r="J188" s="39" t="n"/>
      <c r="K188" s="39" t="n"/>
      <c r="L188" s="39" t="n"/>
      <c r="M188" s="39" t="n"/>
    </row>
    <row r="189" ht="18" customHeight="1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40">
        <f>IF(G189="","",G189*H189)</f>
        <v/>
      </c>
      <c r="J189" s="39" t="n"/>
      <c r="K189" s="39" t="n"/>
      <c r="L189" s="39" t="n"/>
      <c r="M189" s="39" t="n"/>
    </row>
    <row r="190" ht="18" customHeight="1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40">
        <f>IF(G190="","",G190*H190)</f>
        <v/>
      </c>
      <c r="J190" s="39" t="n"/>
      <c r="K190" s="39" t="n"/>
      <c r="L190" s="39" t="n"/>
      <c r="M190" s="39" t="n"/>
    </row>
    <row r="191" ht="18" customHeight="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40">
        <f>IF(G191="","",G191*H191)</f>
        <v/>
      </c>
      <c r="J191" s="39" t="n"/>
      <c r="K191" s="39" t="n"/>
      <c r="L191" s="39" t="n"/>
      <c r="M191" s="39" t="n"/>
    </row>
    <row r="192" ht="18" customHeight="1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40">
        <f>IF(G192="","",G192*H192)</f>
        <v/>
      </c>
      <c r="J192" s="39" t="n"/>
      <c r="K192" s="39" t="n"/>
      <c r="L192" s="39" t="n"/>
      <c r="M192" s="39" t="n"/>
    </row>
    <row r="193" ht="18" customHeight="1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40">
        <f>IF(G193="","",G193*H193)</f>
        <v/>
      </c>
      <c r="J193" s="39" t="n"/>
      <c r="K193" s="39" t="n"/>
      <c r="L193" s="39" t="n"/>
      <c r="M193" s="39" t="n"/>
    </row>
    <row r="194" ht="18" customHeight="1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40">
        <f>IF(G194="","",G194*H194)</f>
        <v/>
      </c>
      <c r="J194" s="39" t="n"/>
      <c r="K194" s="39" t="n"/>
      <c r="L194" s="39" t="n"/>
      <c r="M194" s="39" t="n"/>
    </row>
    <row r="195" ht="18" customHeight="1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40">
        <f>IF(G195="","",G195*H195)</f>
        <v/>
      </c>
      <c r="J195" s="39" t="n"/>
      <c r="K195" s="39" t="n"/>
      <c r="L195" s="39" t="n"/>
      <c r="M195" s="39" t="n"/>
    </row>
    <row r="196" ht="18" customHeight="1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40">
        <f>IF(G196="","",G196*H196)</f>
        <v/>
      </c>
      <c r="J196" s="39" t="n"/>
      <c r="K196" s="39" t="n"/>
      <c r="L196" s="39" t="n"/>
      <c r="M196" s="39" t="n"/>
    </row>
    <row r="197" ht="18" customHeight="1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40">
        <f>IF(G197="","",G197*H197)</f>
        <v/>
      </c>
      <c r="J197" s="39" t="n"/>
      <c r="K197" s="39" t="n"/>
      <c r="L197" s="39" t="n"/>
      <c r="M197" s="39" t="n"/>
    </row>
    <row r="198" ht="18" customHeight="1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40">
        <f>IF(G198="","",G198*H198)</f>
        <v/>
      </c>
      <c r="J198" s="39" t="n"/>
      <c r="K198" s="39" t="n"/>
      <c r="L198" s="39" t="n"/>
      <c r="M198" s="39" t="n"/>
    </row>
    <row r="199" ht="18" customHeight="1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40">
        <f>IF(G199="","",G199*H199)</f>
        <v/>
      </c>
      <c r="J199" s="39" t="n"/>
      <c r="K199" s="39" t="n"/>
      <c r="L199" s="39" t="n"/>
      <c r="M199" s="39" t="n"/>
    </row>
    <row r="200" ht="18" customHeight="1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40">
        <f>IF(G200="","",G200*H200)</f>
        <v/>
      </c>
      <c r="J200" s="39" t="n"/>
      <c r="K200" s="39" t="n"/>
      <c r="L200" s="39" t="n"/>
      <c r="M200" s="39" t="n"/>
    </row>
    <row r="201" ht="18" customHeight="1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40">
        <f>IF(G201="","",G201*H201)</f>
        <v/>
      </c>
      <c r="J201" s="39" t="n"/>
      <c r="K201" s="39" t="n"/>
      <c r="L201" s="39" t="n"/>
      <c r="M201" s="39" t="n"/>
    </row>
    <row r="202" ht="18" customHeight="1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40">
        <f>IF(G202="","",G202*H202)</f>
        <v/>
      </c>
      <c r="J202" s="39" t="n"/>
      <c r="K202" s="39" t="n"/>
      <c r="L202" s="39" t="n"/>
      <c r="M202" s="39" t="n"/>
    </row>
    <row r="203" ht="18" customHeight="1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40">
        <f>IF(G203="","",G203*H203)</f>
        <v/>
      </c>
      <c r="J203" s="39" t="n"/>
      <c r="K203" s="39" t="n"/>
      <c r="L203" s="39" t="n"/>
      <c r="M203" s="39" t="n"/>
    </row>
    <row r="204" ht="18" customHeight="1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40">
        <f>IF(G204="","",G204*H204)</f>
        <v/>
      </c>
      <c r="J204" s="39" t="n"/>
      <c r="K204" s="39" t="n"/>
      <c r="L204" s="39" t="n"/>
      <c r="M204" s="39" t="n"/>
    </row>
    <row r="205" ht="18" customHeight="1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40">
        <f>IF(G205="","",G205*H205)</f>
        <v/>
      </c>
      <c r="J205" s="39" t="n"/>
      <c r="K205" s="39" t="n"/>
      <c r="L205" s="39" t="n"/>
      <c r="M205" s="39" t="n"/>
    </row>
    <row r="206" ht="18" customHeight="1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40">
        <f>IF(G206="","",G206*H206)</f>
        <v/>
      </c>
      <c r="J206" s="39" t="n"/>
      <c r="K206" s="39" t="n"/>
      <c r="L206" s="39" t="n"/>
      <c r="M206" s="39" t="n"/>
    </row>
    <row r="207" ht="18" customHeight="1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40">
        <f>IF(G207="","",G207*H207)</f>
        <v/>
      </c>
      <c r="J207" s="39" t="n"/>
      <c r="K207" s="39" t="n"/>
      <c r="L207" s="39" t="n"/>
      <c r="M207" s="39" t="n"/>
    </row>
    <row r="208" ht="18" customHeight="1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40">
        <f>IF(G208="","",G208*H208)</f>
        <v/>
      </c>
      <c r="J208" s="39" t="n"/>
      <c r="K208" s="39" t="n"/>
      <c r="L208" s="39" t="n"/>
      <c r="M208" s="39" t="n"/>
    </row>
    <row r="209" ht="18" customHeight="1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40">
        <f>IF(G209="","",G209*H209)</f>
        <v/>
      </c>
      <c r="J209" s="39" t="n"/>
      <c r="K209" s="39" t="n"/>
      <c r="L209" s="39" t="n"/>
      <c r="M209" s="39" t="n"/>
    </row>
    <row r="210" ht="18" customHeight="1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40">
        <f>IF(G210="","",G210*H210)</f>
        <v/>
      </c>
      <c r="J210" s="39" t="n"/>
      <c r="K210" s="39" t="n"/>
      <c r="L210" s="39" t="n"/>
      <c r="M210" s="39" t="n"/>
    </row>
    <row r="211" ht="18" customHeight="1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40">
        <f>IF(G211="","",G211*H211)</f>
        <v/>
      </c>
      <c r="J211" s="39" t="n"/>
      <c r="K211" s="39" t="n"/>
      <c r="L211" s="39" t="n"/>
      <c r="M211" s="39" t="n"/>
    </row>
    <row r="212" ht="18" customHeight="1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40">
        <f>IF(G212="","",G212*H212)</f>
        <v/>
      </c>
      <c r="J212" s="39" t="n"/>
      <c r="K212" s="39" t="n"/>
      <c r="L212" s="39" t="n"/>
      <c r="M212" s="39" t="n"/>
    </row>
    <row r="213" ht="18" customHeight="1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40">
        <f>IF(G213="","",G213*H213)</f>
        <v/>
      </c>
      <c r="J213" s="39" t="n"/>
      <c r="K213" s="39" t="n"/>
      <c r="L213" s="39" t="n"/>
      <c r="M213" s="39" t="n"/>
    </row>
    <row r="214" ht="18" customHeight="1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40">
        <f>IF(G214="","",G214*H214)</f>
        <v/>
      </c>
      <c r="J214" s="39" t="n"/>
      <c r="K214" s="39" t="n"/>
      <c r="L214" s="39" t="n"/>
      <c r="M214" s="39" t="n"/>
    </row>
    <row r="215" ht="18" customHeight="1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40">
        <f>IF(G215="","",G215*H215)</f>
        <v/>
      </c>
      <c r="J215" s="39" t="n"/>
      <c r="K215" s="39" t="n"/>
      <c r="L215" s="39" t="n"/>
      <c r="M215" s="39" t="n"/>
    </row>
    <row r="216" ht="18" customHeight="1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40">
        <f>IF(G216="","",G216*H216)</f>
        <v/>
      </c>
      <c r="J216" s="39" t="n"/>
      <c r="K216" s="39" t="n"/>
      <c r="L216" s="39" t="n"/>
      <c r="M216" s="39" t="n"/>
    </row>
    <row r="217" ht="18" customHeight="1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40">
        <f>IF(G217="","",G217*H217)</f>
        <v/>
      </c>
      <c r="J217" s="39" t="n"/>
      <c r="K217" s="39" t="n"/>
      <c r="L217" s="39" t="n"/>
      <c r="M217" s="39" t="n"/>
    </row>
    <row r="218" ht="18" customHeight="1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40">
        <f>IF(G218="","",G218*H218)</f>
        <v/>
      </c>
      <c r="J218" s="39" t="n"/>
      <c r="K218" s="39" t="n"/>
      <c r="L218" s="39" t="n"/>
      <c r="M218" s="39" t="n"/>
    </row>
    <row r="219" ht="18" customHeight="1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40">
        <f>IF(G219="","",G219*H219)</f>
        <v/>
      </c>
      <c r="J219" s="39" t="n"/>
      <c r="K219" s="39" t="n"/>
      <c r="L219" s="39" t="n"/>
      <c r="M219" s="39" t="n"/>
    </row>
    <row r="220" ht="18" customHeight="1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40">
        <f>IF(G220="","",G220*H220)</f>
        <v/>
      </c>
      <c r="J220" s="39" t="n"/>
      <c r="K220" s="39" t="n"/>
      <c r="L220" s="39" t="n"/>
      <c r="M220" s="39" t="n"/>
    </row>
    <row r="221" ht="18" customHeight="1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40">
        <f>IF(G221="","",G221*H221)</f>
        <v/>
      </c>
      <c r="J221" s="39" t="n"/>
      <c r="K221" s="39" t="n"/>
      <c r="L221" s="39" t="n"/>
      <c r="M221" s="39" t="n"/>
    </row>
    <row r="222" ht="18" customHeight="1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40">
        <f>IF(G222="","",G222*H222)</f>
        <v/>
      </c>
      <c r="J222" s="39" t="n"/>
      <c r="K222" s="39" t="n"/>
      <c r="L222" s="39" t="n"/>
      <c r="M222" s="39" t="n"/>
    </row>
    <row r="223" ht="18" customHeight="1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40">
        <f>IF(G223="","",G223*H223)</f>
        <v/>
      </c>
      <c r="J223" s="39" t="n"/>
      <c r="K223" s="39" t="n"/>
      <c r="L223" s="39" t="n"/>
      <c r="M223" s="39" t="n"/>
    </row>
    <row r="224" ht="18" customHeight="1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40">
        <f>IF(G224="","",G224*H224)</f>
        <v/>
      </c>
      <c r="J224" s="39" t="n"/>
      <c r="K224" s="39" t="n"/>
      <c r="L224" s="39" t="n"/>
      <c r="M224" s="39" t="n"/>
    </row>
    <row r="225" ht="18" customHeight="1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40">
        <f>IF(G225="","",G225*H225)</f>
        <v/>
      </c>
      <c r="J225" s="39" t="n"/>
      <c r="K225" s="39" t="n"/>
      <c r="L225" s="39" t="n"/>
      <c r="M225" s="39" t="n"/>
    </row>
    <row r="226" ht="18" customHeight="1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40">
        <f>IF(G226="","",G226*H226)</f>
        <v/>
      </c>
      <c r="J226" s="39" t="n"/>
      <c r="K226" s="39" t="n"/>
      <c r="L226" s="39" t="n"/>
      <c r="M226" s="39" t="n"/>
    </row>
    <row r="227" ht="18" customHeight="1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40">
        <f>IF(G227="","",G227*H227)</f>
        <v/>
      </c>
      <c r="J227" s="39" t="n"/>
      <c r="K227" s="39" t="n"/>
      <c r="L227" s="39" t="n"/>
      <c r="M227" s="39" t="n"/>
    </row>
    <row r="228" ht="18" customHeight="1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40">
        <f>IF(G228="","",G228*H228)</f>
        <v/>
      </c>
      <c r="J228" s="39" t="n"/>
      <c r="K228" s="39" t="n"/>
      <c r="L228" s="39" t="n"/>
      <c r="M228" s="39" t="n"/>
    </row>
    <row r="229" ht="18" customHeight="1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40">
        <f>IF(G229="","",G229*H229)</f>
        <v/>
      </c>
      <c r="J229" s="39" t="n"/>
      <c r="K229" s="39" t="n"/>
      <c r="L229" s="39" t="n"/>
      <c r="M229" s="39" t="n"/>
    </row>
    <row r="230" ht="18" customHeight="1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40">
        <f>IF(G230="","",G230*H230)</f>
        <v/>
      </c>
      <c r="J230" s="39" t="n"/>
      <c r="K230" s="39" t="n"/>
      <c r="L230" s="39" t="n"/>
      <c r="M230" s="39" t="n"/>
    </row>
    <row r="231" ht="18" customHeight="1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40">
        <f>IF(G231="","",G231*H231)</f>
        <v/>
      </c>
      <c r="J231" s="39" t="n"/>
      <c r="K231" s="39" t="n"/>
      <c r="L231" s="39" t="n"/>
      <c r="M231" s="39" t="n"/>
    </row>
    <row r="232" ht="18" customHeight="1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40">
        <f>IF(G232="","",G232*H232)</f>
        <v/>
      </c>
      <c r="J232" s="39" t="n"/>
      <c r="K232" s="39" t="n"/>
      <c r="L232" s="39" t="n"/>
      <c r="M232" s="39" t="n"/>
    </row>
    <row r="233" ht="18" customHeight="1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40">
        <f>IF(G233="","",G233*H233)</f>
        <v/>
      </c>
      <c r="J233" s="39" t="n"/>
      <c r="K233" s="39" t="n"/>
      <c r="L233" s="39" t="n"/>
      <c r="M233" s="39" t="n"/>
    </row>
    <row r="234" ht="18" customHeight="1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40">
        <f>IF(G234="","",G234*H234)</f>
        <v/>
      </c>
      <c r="J234" s="39" t="n"/>
      <c r="K234" s="39" t="n"/>
      <c r="L234" s="39" t="n"/>
      <c r="M234" s="39" t="n"/>
    </row>
    <row r="235" ht="18" customHeight="1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40">
        <f>IF(G235="","",G235*H235)</f>
        <v/>
      </c>
      <c r="J235" s="39" t="n"/>
      <c r="K235" s="39" t="n"/>
      <c r="L235" s="39" t="n"/>
      <c r="M235" s="39" t="n"/>
    </row>
    <row r="236" ht="18" customHeight="1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40">
        <f>IF(G236="","",G236*H236)</f>
        <v/>
      </c>
      <c r="J236" s="39" t="n"/>
      <c r="K236" s="39" t="n"/>
      <c r="L236" s="39" t="n"/>
      <c r="M236" s="39" t="n"/>
    </row>
    <row r="237" ht="18" customHeight="1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40">
        <f>IF(G237="","",G237*H237)</f>
        <v/>
      </c>
      <c r="J237" s="39" t="n"/>
      <c r="K237" s="39" t="n"/>
      <c r="L237" s="39" t="n"/>
      <c r="M237" s="39" t="n"/>
    </row>
    <row r="238" ht="18" customHeight="1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40">
        <f>IF(G238="","",G238*H238)</f>
        <v/>
      </c>
      <c r="J238" s="39" t="n"/>
      <c r="K238" s="39" t="n"/>
      <c r="L238" s="39" t="n"/>
      <c r="M238" s="39" t="n"/>
    </row>
    <row r="239" ht="18" customHeight="1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40">
        <f>IF(G239="","",G239*H239)</f>
        <v/>
      </c>
      <c r="J239" s="39" t="n"/>
      <c r="K239" s="39" t="n"/>
      <c r="L239" s="39" t="n"/>
      <c r="M239" s="39" t="n"/>
    </row>
    <row r="240" ht="18" customHeight="1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40">
        <f>IF(G240="","",G240*H240)</f>
        <v/>
      </c>
      <c r="J240" s="39" t="n"/>
      <c r="K240" s="39" t="n"/>
      <c r="L240" s="39" t="n"/>
      <c r="M240" s="39" t="n"/>
    </row>
    <row r="241" ht="18" customHeight="1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40">
        <f>IF(G241="","",G241*H241)</f>
        <v/>
      </c>
      <c r="J241" s="39" t="n"/>
      <c r="K241" s="39" t="n"/>
      <c r="L241" s="39" t="n"/>
      <c r="M241" s="39" t="n"/>
    </row>
    <row r="242" ht="18" customHeight="1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40">
        <f>IF(G242="","",G242*H242)</f>
        <v/>
      </c>
      <c r="J242" s="39" t="n"/>
      <c r="K242" s="39" t="n"/>
      <c r="L242" s="39" t="n"/>
      <c r="M242" s="39" t="n"/>
    </row>
    <row r="243" ht="18" customHeight="1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40">
        <f>IF(G243="","",G243*H243)</f>
        <v/>
      </c>
      <c r="J243" s="39" t="n"/>
      <c r="K243" s="39" t="n"/>
      <c r="L243" s="39" t="n"/>
      <c r="M243" s="39" t="n"/>
    </row>
    <row r="244" ht="18" customHeight="1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40">
        <f>IF(G244="","",G244*H244)</f>
        <v/>
      </c>
      <c r="J244" s="39" t="n"/>
      <c r="K244" s="39" t="n"/>
      <c r="L244" s="39" t="n"/>
      <c r="M244" s="39" t="n"/>
    </row>
    <row r="245" ht="18" customHeight="1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40">
        <f>IF(G245="","",G245*H245)</f>
        <v/>
      </c>
      <c r="J245" s="39" t="n"/>
      <c r="K245" s="39" t="n"/>
      <c r="L245" s="39" t="n"/>
      <c r="M245" s="39" t="n"/>
    </row>
    <row r="246" ht="18" customHeight="1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40">
        <f>IF(G246="","",G246*H246)</f>
        <v/>
      </c>
      <c r="J246" s="39" t="n"/>
      <c r="K246" s="39" t="n"/>
      <c r="L246" s="39" t="n"/>
      <c r="M246" s="39" t="n"/>
    </row>
    <row r="247" ht="18" customHeight="1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40">
        <f>IF(G247="","",G247*H247)</f>
        <v/>
      </c>
      <c r="J247" s="39" t="n"/>
      <c r="K247" s="39" t="n"/>
      <c r="L247" s="39" t="n"/>
      <c r="M247" s="39" t="n"/>
    </row>
    <row r="248" ht="18" customHeight="1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40">
        <f>IF(G248="","",G248*H248)</f>
        <v/>
      </c>
      <c r="J248" s="39" t="n"/>
      <c r="K248" s="39" t="n"/>
      <c r="L248" s="39" t="n"/>
      <c r="M248" s="39" t="n"/>
    </row>
    <row r="249" ht="18" customHeight="1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40">
        <f>IF(G249="","",G249*H249)</f>
        <v/>
      </c>
      <c r="J249" s="39" t="n"/>
      <c r="K249" s="39" t="n"/>
      <c r="L249" s="39" t="n"/>
      <c r="M249" s="39" t="n"/>
    </row>
    <row r="250" ht="18" customHeight="1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40">
        <f>IF(G250="","",G250*H250)</f>
        <v/>
      </c>
      <c r="J250" s="39" t="n"/>
      <c r="K250" s="39" t="n"/>
      <c r="L250" s="39" t="n"/>
      <c r="M250" s="39" t="n"/>
    </row>
    <row r="251" ht="18" customHeight="1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40">
        <f>IF(G251="","",G251*H251)</f>
        <v/>
      </c>
      <c r="J251" s="39" t="n"/>
      <c r="K251" s="39" t="n"/>
      <c r="L251" s="39" t="n"/>
      <c r="M251" s="39" t="n"/>
    </row>
    <row r="252" ht="18" customHeight="1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40">
        <f>IF(G252="","",G252*H252)</f>
        <v/>
      </c>
      <c r="J252" s="39" t="n"/>
      <c r="K252" s="39" t="n"/>
      <c r="L252" s="39" t="n"/>
      <c r="M252" s="39" t="n"/>
    </row>
    <row r="253" ht="18" customHeight="1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40">
        <f>IF(G253="","",G253*H253)</f>
        <v/>
      </c>
      <c r="J253" s="39" t="n"/>
      <c r="K253" s="39" t="n"/>
      <c r="L253" s="39" t="n"/>
      <c r="M253" s="39" t="n"/>
    </row>
    <row r="254" ht="18" customHeight="1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40">
        <f>IF(G254="","",G254*H254)</f>
        <v/>
      </c>
      <c r="J254" s="39" t="n"/>
      <c r="K254" s="39" t="n"/>
      <c r="L254" s="39" t="n"/>
      <c r="M254" s="39" t="n"/>
    </row>
    <row r="255" ht="18" customHeight="1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40">
        <f>IF(G255="","",G255*H255)</f>
        <v/>
      </c>
      <c r="J255" s="39" t="n"/>
      <c r="K255" s="39" t="n"/>
      <c r="L255" s="39" t="n"/>
      <c r="M255" s="39" t="n"/>
    </row>
    <row r="256" ht="18" customHeight="1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40">
        <f>IF(G256="","",G256*H256)</f>
        <v/>
      </c>
      <c r="J256" s="39" t="n"/>
      <c r="K256" s="39" t="n"/>
      <c r="L256" s="39" t="n"/>
      <c r="M256" s="39" t="n"/>
    </row>
    <row r="257" ht="18" customHeight="1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40">
        <f>IF(G257="","",G257*H257)</f>
        <v/>
      </c>
      <c r="J257" s="39" t="n"/>
      <c r="K257" s="39" t="n"/>
      <c r="L257" s="39" t="n"/>
      <c r="M257" s="39" t="n"/>
    </row>
    <row r="258" ht="18" customHeight="1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40">
        <f>IF(G258="","",G258*H258)</f>
        <v/>
      </c>
      <c r="J258" s="39" t="n"/>
      <c r="K258" s="39" t="n"/>
      <c r="L258" s="39" t="n"/>
      <c r="M258" s="39" t="n"/>
    </row>
    <row r="259" ht="18" customHeight="1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40">
        <f>IF(G259="","",G259*H259)</f>
        <v/>
      </c>
      <c r="J259" s="39" t="n"/>
      <c r="K259" s="39" t="n"/>
      <c r="L259" s="39" t="n"/>
      <c r="M259" s="39" t="n"/>
    </row>
    <row r="260" ht="18" customHeight="1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40">
        <f>IF(G260="","",G260*H260)</f>
        <v/>
      </c>
      <c r="J260" s="39" t="n"/>
      <c r="K260" s="39" t="n"/>
      <c r="L260" s="39" t="n"/>
      <c r="M260" s="39" t="n"/>
    </row>
    <row r="261" ht="18" customHeight="1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40">
        <f>IF(G261="","",G261*H261)</f>
        <v/>
      </c>
      <c r="J261" s="39" t="n"/>
      <c r="K261" s="39" t="n"/>
      <c r="L261" s="39" t="n"/>
      <c r="M261" s="39" t="n"/>
    </row>
    <row r="262" ht="18" customHeight="1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40">
        <f>IF(G262="","",G262*H262)</f>
        <v/>
      </c>
      <c r="J262" s="39" t="n"/>
      <c r="K262" s="39" t="n"/>
      <c r="L262" s="39" t="n"/>
      <c r="M262" s="39" t="n"/>
    </row>
    <row r="263" ht="18" customHeight="1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40">
        <f>IF(G263="","",G263*H263)</f>
        <v/>
      </c>
      <c r="J263" s="39" t="n"/>
      <c r="K263" s="39" t="n"/>
      <c r="L263" s="39" t="n"/>
      <c r="M263" s="39" t="n"/>
    </row>
    <row r="264" ht="18" customHeight="1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40">
        <f>IF(G264="","",G264*H264)</f>
        <v/>
      </c>
      <c r="J264" s="39" t="n"/>
      <c r="K264" s="39" t="n"/>
      <c r="L264" s="39" t="n"/>
      <c r="M264" s="39" t="n"/>
    </row>
    <row r="265" ht="18" customHeight="1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40">
        <f>IF(G265="","",G265*H265)</f>
        <v/>
      </c>
      <c r="J265" s="39" t="n"/>
      <c r="K265" s="39" t="n"/>
      <c r="L265" s="39" t="n"/>
      <c r="M265" s="39" t="n"/>
    </row>
    <row r="266" ht="18" customHeight="1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40">
        <f>IF(G266="","",G266*H266)</f>
        <v/>
      </c>
      <c r="J266" s="39" t="n"/>
      <c r="K266" s="39" t="n"/>
      <c r="L266" s="39" t="n"/>
      <c r="M266" s="39" t="n"/>
    </row>
    <row r="267" ht="18" customHeight="1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40">
        <f>IF(G267="","",G267*H267)</f>
        <v/>
      </c>
      <c r="J267" s="39" t="n"/>
      <c r="K267" s="39" t="n"/>
      <c r="L267" s="39" t="n"/>
      <c r="M267" s="39" t="n"/>
    </row>
    <row r="268" ht="18" customHeight="1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40">
        <f>IF(G268="","",G268*H268)</f>
        <v/>
      </c>
      <c r="J268" s="39" t="n"/>
      <c r="K268" s="39" t="n"/>
      <c r="L268" s="39" t="n"/>
      <c r="M268" s="39" t="n"/>
    </row>
    <row r="269" ht="18" customHeight="1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40">
        <f>IF(G269="","",G269*H269)</f>
        <v/>
      </c>
      <c r="J269" s="39" t="n"/>
      <c r="K269" s="39" t="n"/>
      <c r="L269" s="39" t="n"/>
      <c r="M269" s="39" t="n"/>
    </row>
    <row r="270" ht="18" customHeight="1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40">
        <f>IF(G270="","",G270*H270)</f>
        <v/>
      </c>
      <c r="J270" s="39" t="n"/>
      <c r="K270" s="39" t="n"/>
      <c r="L270" s="39" t="n"/>
      <c r="M270" s="39" t="n"/>
    </row>
    <row r="271" ht="18" customHeight="1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40">
        <f>IF(G271="","",G271*H271)</f>
        <v/>
      </c>
      <c r="J271" s="39" t="n"/>
      <c r="K271" s="39" t="n"/>
      <c r="L271" s="39" t="n"/>
      <c r="M271" s="39" t="n"/>
    </row>
    <row r="272" ht="18" customHeight="1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40">
        <f>IF(G272="","",G272*H272)</f>
        <v/>
      </c>
      <c r="J272" s="39" t="n"/>
      <c r="K272" s="39" t="n"/>
      <c r="L272" s="39" t="n"/>
      <c r="M272" s="39" t="n"/>
    </row>
    <row r="273" ht="18" customHeight="1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40">
        <f>IF(G273="","",G273*H273)</f>
        <v/>
      </c>
      <c r="J273" s="39" t="n"/>
      <c r="K273" s="39" t="n"/>
      <c r="L273" s="39" t="n"/>
      <c r="M273" s="39" t="n"/>
    </row>
    <row r="274" ht="18" customHeight="1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40">
        <f>IF(G274="","",G274*H274)</f>
        <v/>
      </c>
      <c r="J274" s="39" t="n"/>
      <c r="K274" s="39" t="n"/>
      <c r="L274" s="39" t="n"/>
      <c r="M274" s="39" t="n"/>
    </row>
    <row r="275" ht="18" customHeight="1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40">
        <f>IF(G275="","",G275*H275)</f>
        <v/>
      </c>
      <c r="J275" s="39" t="n"/>
      <c r="K275" s="39" t="n"/>
      <c r="L275" s="39" t="n"/>
      <c r="M275" s="39" t="n"/>
    </row>
    <row r="276" ht="18" customHeight="1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40">
        <f>IF(G276="","",G276*H276)</f>
        <v/>
      </c>
      <c r="J276" s="39" t="n"/>
      <c r="K276" s="39" t="n"/>
      <c r="L276" s="39" t="n"/>
      <c r="M276" s="39" t="n"/>
    </row>
    <row r="277" ht="18" customHeight="1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40">
        <f>IF(G277="","",G277*H277)</f>
        <v/>
      </c>
      <c r="J277" s="39" t="n"/>
      <c r="K277" s="39" t="n"/>
      <c r="L277" s="39" t="n"/>
      <c r="M277" s="39" t="n"/>
    </row>
    <row r="278" ht="18" customHeight="1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40">
        <f>IF(G278="","",G278*H278)</f>
        <v/>
      </c>
      <c r="J278" s="39" t="n"/>
      <c r="K278" s="39" t="n"/>
      <c r="L278" s="39" t="n"/>
      <c r="M278" s="39" t="n"/>
    </row>
    <row r="279" ht="18" customHeight="1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40">
        <f>IF(G279="","",G279*H279)</f>
        <v/>
      </c>
      <c r="J279" s="39" t="n"/>
      <c r="K279" s="39" t="n"/>
      <c r="L279" s="39" t="n"/>
      <c r="M279" s="39" t="n"/>
    </row>
    <row r="280" ht="18" customHeight="1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40">
        <f>IF(G280="","",G280*H280)</f>
        <v/>
      </c>
      <c r="J280" s="39" t="n"/>
      <c r="K280" s="39" t="n"/>
      <c r="L280" s="39" t="n"/>
      <c r="M280" s="39" t="n"/>
    </row>
    <row r="281" ht="18" customHeight="1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40">
        <f>IF(G281="","",G281*H281)</f>
        <v/>
      </c>
      <c r="J281" s="39" t="n"/>
      <c r="K281" s="39" t="n"/>
      <c r="L281" s="39" t="n"/>
      <c r="M281" s="39" t="n"/>
    </row>
    <row r="282" ht="18" customHeight="1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40">
        <f>IF(G282="","",G282*H282)</f>
        <v/>
      </c>
      <c r="J282" s="39" t="n"/>
      <c r="K282" s="39" t="n"/>
      <c r="L282" s="39" t="n"/>
      <c r="M282" s="39" t="n"/>
    </row>
    <row r="283" ht="18" customHeight="1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40">
        <f>IF(G283="","",G283*H283)</f>
        <v/>
      </c>
      <c r="J283" s="39" t="n"/>
      <c r="K283" s="39" t="n"/>
      <c r="L283" s="39" t="n"/>
      <c r="M283" s="39" t="n"/>
    </row>
    <row r="284" ht="18" customHeight="1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40">
        <f>IF(G284="","",G284*H284)</f>
        <v/>
      </c>
      <c r="J284" s="39" t="n"/>
      <c r="K284" s="39" t="n"/>
      <c r="L284" s="39" t="n"/>
      <c r="M284" s="39" t="n"/>
    </row>
    <row r="285" ht="18" customHeight="1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40">
        <f>IF(G285="","",G285*H285)</f>
        <v/>
      </c>
      <c r="J285" s="39" t="n"/>
      <c r="K285" s="39" t="n"/>
      <c r="L285" s="39" t="n"/>
      <c r="M285" s="39" t="n"/>
    </row>
    <row r="286" ht="18" customHeight="1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40">
        <f>IF(G286="","",G286*H286)</f>
        <v/>
      </c>
      <c r="J286" s="39" t="n"/>
      <c r="K286" s="39" t="n"/>
      <c r="L286" s="39" t="n"/>
      <c r="M286" s="39" t="n"/>
    </row>
    <row r="287" ht="18" customHeight="1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40">
        <f>IF(G287="","",G287*H287)</f>
        <v/>
      </c>
      <c r="J287" s="39" t="n"/>
      <c r="K287" s="39" t="n"/>
      <c r="L287" s="39" t="n"/>
      <c r="M287" s="39" t="n"/>
    </row>
    <row r="288" ht="18" customHeight="1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40">
        <f>IF(G288="","",G288*H288)</f>
        <v/>
      </c>
      <c r="J288" s="39" t="n"/>
      <c r="K288" s="39" t="n"/>
      <c r="L288" s="39" t="n"/>
      <c r="M288" s="39" t="n"/>
    </row>
    <row r="289" ht="18" customHeight="1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40">
        <f>IF(G289="","",G289*H289)</f>
        <v/>
      </c>
      <c r="J289" s="39" t="n"/>
      <c r="K289" s="39" t="n"/>
      <c r="L289" s="39" t="n"/>
      <c r="M289" s="39" t="n"/>
    </row>
    <row r="290" ht="18" customHeight="1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40">
        <f>IF(G290="","",G290*H290)</f>
        <v/>
      </c>
      <c r="J290" s="39" t="n"/>
      <c r="K290" s="39" t="n"/>
      <c r="L290" s="39" t="n"/>
      <c r="M290" s="39" t="n"/>
    </row>
    <row r="291" ht="18" customHeight="1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40">
        <f>IF(G291="","",G291*H291)</f>
        <v/>
      </c>
      <c r="J291" s="39" t="n"/>
      <c r="K291" s="39" t="n"/>
      <c r="L291" s="39" t="n"/>
      <c r="M291" s="39" t="n"/>
    </row>
    <row r="292" ht="18" customHeight="1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40">
        <f>IF(G292="","",G292*H292)</f>
        <v/>
      </c>
      <c r="J292" s="39" t="n"/>
      <c r="K292" s="39" t="n"/>
      <c r="L292" s="39" t="n"/>
      <c r="M292" s="39" t="n"/>
    </row>
    <row r="293" ht="18" customHeight="1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40">
        <f>IF(G293="","",G293*H293)</f>
        <v/>
      </c>
      <c r="J293" s="39" t="n"/>
      <c r="K293" s="39" t="n"/>
      <c r="L293" s="39" t="n"/>
      <c r="M293" s="39" t="n"/>
    </row>
    <row r="294" ht="18" customHeight="1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40">
        <f>IF(G294="","",G294*H294)</f>
        <v/>
      </c>
      <c r="J294" s="39" t="n"/>
      <c r="K294" s="39" t="n"/>
      <c r="L294" s="39" t="n"/>
      <c r="M294" s="39" t="n"/>
    </row>
    <row r="295" ht="18" customHeight="1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40">
        <f>IF(G295="","",G295*H295)</f>
        <v/>
      </c>
      <c r="J295" s="39" t="n"/>
      <c r="K295" s="39" t="n"/>
      <c r="L295" s="39" t="n"/>
      <c r="M295" s="39" t="n"/>
    </row>
    <row r="296" ht="18" customHeight="1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40">
        <f>IF(G296="","",G296*H296)</f>
        <v/>
      </c>
      <c r="J296" s="39" t="n"/>
      <c r="K296" s="39" t="n"/>
      <c r="L296" s="39" t="n"/>
      <c r="M296" s="39" t="n"/>
    </row>
    <row r="297" ht="18" customHeight="1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40">
        <f>IF(G297="","",G297*H297)</f>
        <v/>
      </c>
      <c r="J297" s="39" t="n"/>
      <c r="K297" s="39" t="n"/>
      <c r="L297" s="39" t="n"/>
      <c r="M297" s="39" t="n"/>
    </row>
    <row r="298" ht="18" customHeight="1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40">
        <f>IF(G298="","",G298*H298)</f>
        <v/>
      </c>
      <c r="J298" s="39" t="n"/>
      <c r="K298" s="39" t="n"/>
      <c r="L298" s="39" t="n"/>
      <c r="M298" s="39" t="n"/>
    </row>
    <row r="299" ht="18" customHeight="1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40">
        <f>IF(G299="","",G299*H299)</f>
        <v/>
      </c>
      <c r="J299" s="39" t="n"/>
      <c r="K299" s="39" t="n"/>
      <c r="L299" s="39" t="n"/>
      <c r="M299" s="39" t="n"/>
    </row>
    <row r="300" ht="18" customHeight="1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40">
        <f>IF(G300="","",G300*H300)</f>
        <v/>
      </c>
      <c r="J300" s="39" t="n"/>
      <c r="K300" s="39" t="n"/>
      <c r="L300" s="39" t="n"/>
      <c r="M300" s="39" t="n"/>
    </row>
    <row r="301" ht="18" customHeight="1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40">
        <f>IF(G301="","",G301*H301)</f>
        <v/>
      </c>
      <c r="J301" s="39" t="n"/>
      <c r="K301" s="39" t="n"/>
      <c r="L301" s="39" t="n"/>
      <c r="M301" s="39" t="n"/>
    </row>
    <row r="302" ht="18" customHeight="1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40">
        <f>IF(G302="","",G302*H302)</f>
        <v/>
      </c>
      <c r="J302" s="39" t="n"/>
      <c r="K302" s="39" t="n"/>
      <c r="L302" s="39" t="n"/>
      <c r="M302" s="39" t="n"/>
    </row>
    <row r="303" ht="18" customHeight="1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40">
        <f>IF(G303="","",G303*H303)</f>
        <v/>
      </c>
      <c r="J303" s="39" t="n"/>
      <c r="K303" s="39" t="n"/>
      <c r="L303" s="39" t="n"/>
      <c r="M303" s="39" t="n"/>
    </row>
    <row r="304" ht="18" customHeight="1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40">
        <f>IF(G304="","",G304*H304)</f>
        <v/>
      </c>
      <c r="J304" s="39" t="n"/>
      <c r="K304" s="39" t="n"/>
      <c r="L304" s="39" t="n"/>
      <c r="M304" s="39" t="n"/>
    </row>
  </sheetData>
  <autoFilter ref="A4:M4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8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8" customWidth="1" min="9" max="9"/>
    <col width="12" customWidth="1" min="10" max="10"/>
    <col width="14" customWidth="1" min="11" max="11"/>
    <col width="13" customWidth="1" min="12" max="12"/>
    <col width="14" customWidth="1" min="13" max="13"/>
    <col width="14" customWidth="1" min="14" max="14"/>
    <col width="12" customWidth="1" min="15" max="15"/>
    <col width="32" customWidth="1" min="16" max="16"/>
  </cols>
  <sheetData>
    <row r="1" ht="36" customHeight="1">
      <c r="A1" s="1" t="inlineStr">
        <is>
          <t>RECEBIMENTO — PORCOS CHEGADOS NA UNIDADE</t>
        </is>
      </c>
    </row>
    <row r="2" ht="22" customHeight="1">
      <c r="A2" s="2" t="inlineStr">
        <is>
          <t>Registro de entrada, pesagem e condições na chegada · Status: RECEBIDO | EM DESCANSO | EM ABATE | ABATIDO</t>
        </is>
      </c>
    </row>
    <row r="4" ht="30" customHeight="1">
      <c r="A4" s="31" t="inlineStr">
        <is>
          <t>ID
LOTE</t>
        </is>
      </c>
      <c r="B4" s="31" t="inlineStr">
        <is>
          <t>ID
COLONO</t>
        </is>
      </c>
      <c r="C4" s="31" t="inlineStr">
        <is>
          <t>NOME DO COLONO</t>
        </is>
      </c>
      <c r="D4" s="31" t="inlineStr">
        <is>
          <t>DATA
CHEGADA</t>
        </is>
      </c>
      <c r="E4" s="31" t="inlineStr">
        <is>
          <t>HORA
CHEGADA</t>
        </is>
      </c>
      <c r="F4" s="31" t="inlineStr">
        <is>
          <t>QTD
RECEBIDA</t>
        </is>
      </c>
      <c r="G4" s="31" t="inlineStr">
        <is>
          <t>PESO TOTAL
RECEBIDO (kg)</t>
        </is>
      </c>
      <c r="H4" s="31" t="inlineStr">
        <is>
          <t>PESO MÉDIO
RECEB. (kg)</t>
        </is>
      </c>
      <c r="I4" s="31" t="inlineStr">
        <is>
          <t>MOTORISTA</t>
        </is>
      </c>
      <c r="J4" s="31" t="inlineStr">
        <is>
          <t>PLACA
VEÍCULO</t>
        </is>
      </c>
      <c r="K4" s="31" t="inlineStr">
        <is>
          <t>TEMP.
TRANSPORTE (°C)</t>
        </is>
      </c>
      <c r="L4" s="31" t="inlineStr">
        <is>
          <t>CONDIÇÃO
ANIMAIS (1-5)</t>
        </is>
      </c>
      <c r="M4" s="31" t="inlineStr">
        <is>
          <t>DATA PREV.
ABATE</t>
        </is>
      </c>
      <c r="N4" s="31" t="inlineStr">
        <is>
          <t>STATUS
ATUAL</t>
        </is>
      </c>
      <c r="O4" s="31" t="inlineStr">
        <is>
          <t>RESP.
RECEB.</t>
        </is>
      </c>
      <c r="P4" s="31" t="inlineStr">
        <is>
          <t>OBS / PENDÊNCIAS</t>
        </is>
      </c>
    </row>
    <row r="5" ht="18" customHeight="1">
      <c r="A5" s="32" t="inlineStr">
        <is>
          <t>LOT-2024-002</t>
        </is>
      </c>
      <c r="B5" s="32" t="inlineStr">
        <is>
          <t>COL-002</t>
        </is>
      </c>
      <c r="C5" s="32" t="inlineStr">
        <is>
          <t>Maria dos Santos Fontana</t>
        </is>
      </c>
      <c r="D5" s="34" t="n">
        <v>45519</v>
      </c>
      <c r="E5" s="32" t="inlineStr">
        <is>
          <t>08:52</t>
        </is>
      </c>
      <c r="F5" s="32" t="n">
        <v>118</v>
      </c>
      <c r="G5" s="35" t="n">
        <v>12459</v>
      </c>
      <c r="H5" s="36">
        <f>IF(F5=0,"",G5/F5)</f>
        <v/>
      </c>
      <c r="I5" s="32" t="inlineStr">
        <is>
          <t>Roberto Leal</t>
        </is>
      </c>
      <c r="J5" s="32" t="inlineStr">
        <is>
          <t>SCQ-5678</t>
        </is>
      </c>
      <c r="K5" s="32" t="n">
        <v>18.5</v>
      </c>
      <c r="L5" s="32" t="n">
        <v>4</v>
      </c>
      <c r="M5" s="34" t="n">
        <v>45519</v>
      </c>
      <c r="N5" s="41" t="inlineStr">
        <is>
          <t>EM DESCANSO</t>
        </is>
      </c>
      <c r="O5" s="32" t="inlineStr">
        <is>
          <t>Ana Paula</t>
        </is>
      </c>
      <c r="P5" s="32" t="inlineStr">
        <is>
          <t>2 animais machucados no transporte — verificar</t>
        </is>
      </c>
    </row>
    <row r="6" ht="18" customHeight="1">
      <c r="A6" s="39" t="n"/>
      <c r="B6" s="39" t="n"/>
      <c r="C6" s="39" t="n"/>
      <c r="D6" s="39" t="n"/>
      <c r="E6" s="39" t="n"/>
      <c r="F6" s="39" t="n"/>
      <c r="G6" s="39" t="n"/>
      <c r="H6" s="40">
        <f>IF(OR(F6="",F6=0),"",G6/F6)</f>
        <v/>
      </c>
      <c r="I6" s="39" t="n"/>
      <c r="J6" s="39" t="n"/>
      <c r="K6" s="39" t="n"/>
      <c r="L6" s="39" t="n"/>
      <c r="M6" s="39" t="n"/>
      <c r="N6" s="39" t="n"/>
      <c r="O6" s="39" t="n"/>
      <c r="P6" s="39" t="n"/>
    </row>
    <row r="7" ht="18" customHeight="1">
      <c r="A7" s="39" t="n"/>
      <c r="B7" s="39" t="n"/>
      <c r="C7" s="39" t="n"/>
      <c r="D7" s="39" t="n"/>
      <c r="E7" s="39" t="n"/>
      <c r="F7" s="39" t="n"/>
      <c r="G7" s="39" t="n"/>
      <c r="H7" s="40">
        <f>IF(OR(F7="",F7=0),"",G7/F7)</f>
        <v/>
      </c>
      <c r="I7" s="39" t="n"/>
      <c r="J7" s="39" t="n"/>
      <c r="K7" s="39" t="n"/>
      <c r="L7" s="39" t="n"/>
      <c r="M7" s="39" t="n"/>
      <c r="N7" s="39" t="n"/>
      <c r="O7" s="39" t="n"/>
      <c r="P7" s="39" t="n"/>
    </row>
    <row r="8" ht="18" customHeight="1">
      <c r="A8" s="39" t="n"/>
      <c r="B8" s="39" t="n"/>
      <c r="C8" s="39" t="n"/>
      <c r="D8" s="39" t="n"/>
      <c r="E8" s="39" t="n"/>
      <c r="F8" s="39" t="n"/>
      <c r="G8" s="39" t="n"/>
      <c r="H8" s="40">
        <f>IF(OR(F8="",F8=0),"",G8/F8)</f>
        <v/>
      </c>
      <c r="I8" s="39" t="n"/>
      <c r="J8" s="39" t="n"/>
      <c r="K8" s="39" t="n"/>
      <c r="L8" s="39" t="n"/>
      <c r="M8" s="39" t="n"/>
      <c r="N8" s="39" t="n"/>
      <c r="O8" s="39" t="n"/>
      <c r="P8" s="39" t="n"/>
    </row>
    <row r="9" ht="18" customHeight="1">
      <c r="A9" s="39" t="n"/>
      <c r="B9" s="39" t="n"/>
      <c r="C9" s="39" t="n"/>
      <c r="D9" s="39" t="n"/>
      <c r="E9" s="39" t="n"/>
      <c r="F9" s="39" t="n"/>
      <c r="G9" s="39" t="n"/>
      <c r="H9" s="40">
        <f>IF(OR(F9="",F9=0),"",G9/F9)</f>
        <v/>
      </c>
      <c r="I9" s="39" t="n"/>
      <c r="J9" s="39" t="n"/>
      <c r="K9" s="39" t="n"/>
      <c r="L9" s="39" t="n"/>
      <c r="M9" s="39" t="n"/>
      <c r="N9" s="39" t="n"/>
      <c r="O9" s="39" t="n"/>
      <c r="P9" s="39" t="n"/>
    </row>
    <row r="10" ht="18" customHeight="1">
      <c r="A10" s="39" t="n"/>
      <c r="B10" s="39" t="n"/>
      <c r="C10" s="39" t="n"/>
      <c r="D10" s="39" t="n"/>
      <c r="E10" s="39" t="n"/>
      <c r="F10" s="39" t="n"/>
      <c r="G10" s="39" t="n"/>
      <c r="H10" s="40">
        <f>IF(OR(F10="",F10=0),"",G10/F10)</f>
        <v/>
      </c>
      <c r="I10" s="39" t="n"/>
      <c r="J10" s="39" t="n"/>
      <c r="K10" s="39" t="n"/>
      <c r="L10" s="39" t="n"/>
      <c r="M10" s="39" t="n"/>
      <c r="N10" s="39" t="n"/>
      <c r="O10" s="39" t="n"/>
      <c r="P10" s="39" t="n"/>
    </row>
    <row r="11" ht="18" customHeight="1">
      <c r="A11" s="39" t="n"/>
      <c r="B11" s="39" t="n"/>
      <c r="C11" s="39" t="n"/>
      <c r="D11" s="39" t="n"/>
      <c r="E11" s="39" t="n"/>
      <c r="F11" s="39" t="n"/>
      <c r="G11" s="39" t="n"/>
      <c r="H11" s="40">
        <f>IF(OR(F11="",F11=0),"",G11/F11)</f>
        <v/>
      </c>
      <c r="I11" s="39" t="n"/>
      <c r="J11" s="39" t="n"/>
      <c r="K11" s="39" t="n"/>
      <c r="L11" s="39" t="n"/>
      <c r="M11" s="39" t="n"/>
      <c r="N11" s="39" t="n"/>
      <c r="O11" s="39" t="n"/>
      <c r="P11" s="39" t="n"/>
    </row>
    <row r="12" ht="18" customHeight="1">
      <c r="A12" s="39" t="n"/>
      <c r="B12" s="39" t="n"/>
      <c r="C12" s="39" t="n"/>
      <c r="D12" s="39" t="n"/>
      <c r="E12" s="39" t="n"/>
      <c r="F12" s="39" t="n"/>
      <c r="G12" s="39" t="n"/>
      <c r="H12" s="40">
        <f>IF(OR(F12="",F12=0),"",G12/F12)</f>
        <v/>
      </c>
      <c r="I12" s="39" t="n"/>
      <c r="J12" s="39" t="n"/>
      <c r="K12" s="39" t="n"/>
      <c r="L12" s="39" t="n"/>
      <c r="M12" s="39" t="n"/>
      <c r="N12" s="39" t="n"/>
      <c r="O12" s="39" t="n"/>
      <c r="P12" s="39" t="n"/>
    </row>
    <row r="13" ht="18" customHeight="1">
      <c r="A13" s="39" t="n"/>
      <c r="B13" s="39" t="n"/>
      <c r="C13" s="39" t="n"/>
      <c r="D13" s="39" t="n"/>
      <c r="E13" s="39" t="n"/>
      <c r="F13" s="39" t="n"/>
      <c r="G13" s="39" t="n"/>
      <c r="H13" s="40">
        <f>IF(OR(F13="",F13=0),"",G13/F13)</f>
        <v/>
      </c>
      <c r="I13" s="39" t="n"/>
      <c r="J13" s="39" t="n"/>
      <c r="K13" s="39" t="n"/>
      <c r="L13" s="39" t="n"/>
      <c r="M13" s="39" t="n"/>
      <c r="N13" s="39" t="n"/>
      <c r="O13" s="39" t="n"/>
      <c r="P13" s="39" t="n"/>
    </row>
    <row r="14" ht="18" customHeight="1">
      <c r="A14" s="39" t="n"/>
      <c r="B14" s="39" t="n"/>
      <c r="C14" s="39" t="n"/>
      <c r="D14" s="39" t="n"/>
      <c r="E14" s="39" t="n"/>
      <c r="F14" s="39" t="n"/>
      <c r="G14" s="39" t="n"/>
      <c r="H14" s="40">
        <f>IF(OR(F14="",F14=0),"",G14/F14)</f>
        <v/>
      </c>
      <c r="I14" s="39" t="n"/>
      <c r="J14" s="39" t="n"/>
      <c r="K14" s="39" t="n"/>
      <c r="L14" s="39" t="n"/>
      <c r="M14" s="39" t="n"/>
      <c r="N14" s="39" t="n"/>
      <c r="O14" s="39" t="n"/>
      <c r="P14" s="39" t="n"/>
    </row>
    <row r="15" ht="18" customHeight="1">
      <c r="A15" s="39" t="n"/>
      <c r="B15" s="39" t="n"/>
      <c r="C15" s="39" t="n"/>
      <c r="D15" s="39" t="n"/>
      <c r="E15" s="39" t="n"/>
      <c r="F15" s="39" t="n"/>
      <c r="G15" s="39" t="n"/>
      <c r="H15" s="40">
        <f>IF(OR(F15="",F15=0),"",G15/F15)</f>
        <v/>
      </c>
      <c r="I15" s="39" t="n"/>
      <c r="J15" s="39" t="n"/>
      <c r="K15" s="39" t="n"/>
      <c r="L15" s="39" t="n"/>
      <c r="M15" s="39" t="n"/>
      <c r="N15" s="39" t="n"/>
      <c r="O15" s="39" t="n"/>
      <c r="P15" s="39" t="n"/>
    </row>
    <row r="16" ht="18" customHeight="1">
      <c r="A16" s="39" t="n"/>
      <c r="B16" s="39" t="n"/>
      <c r="C16" s="39" t="n"/>
      <c r="D16" s="39" t="n"/>
      <c r="E16" s="39" t="n"/>
      <c r="F16" s="39" t="n"/>
      <c r="G16" s="39" t="n"/>
      <c r="H16" s="40">
        <f>IF(OR(F16="",F16=0),"",G16/F16)</f>
        <v/>
      </c>
      <c r="I16" s="39" t="n"/>
      <c r="J16" s="39" t="n"/>
      <c r="K16" s="39" t="n"/>
      <c r="L16" s="39" t="n"/>
      <c r="M16" s="39" t="n"/>
      <c r="N16" s="39" t="n"/>
      <c r="O16" s="39" t="n"/>
      <c r="P16" s="39" t="n"/>
    </row>
    <row r="17" ht="18" customHeight="1">
      <c r="A17" s="39" t="n"/>
      <c r="B17" s="39" t="n"/>
      <c r="C17" s="39" t="n"/>
      <c r="D17" s="39" t="n"/>
      <c r="E17" s="39" t="n"/>
      <c r="F17" s="39" t="n"/>
      <c r="G17" s="39" t="n"/>
      <c r="H17" s="40">
        <f>IF(OR(F17="",F17=0),"",G17/F17)</f>
        <v/>
      </c>
      <c r="I17" s="39" t="n"/>
      <c r="J17" s="39" t="n"/>
      <c r="K17" s="39" t="n"/>
      <c r="L17" s="39" t="n"/>
      <c r="M17" s="39" t="n"/>
      <c r="N17" s="39" t="n"/>
      <c r="O17" s="39" t="n"/>
      <c r="P17" s="39" t="n"/>
    </row>
    <row r="18" ht="18" customHeight="1">
      <c r="A18" s="39" t="n"/>
      <c r="B18" s="39" t="n"/>
      <c r="C18" s="39" t="n"/>
      <c r="D18" s="39" t="n"/>
      <c r="E18" s="39" t="n"/>
      <c r="F18" s="39" t="n"/>
      <c r="G18" s="39" t="n"/>
      <c r="H18" s="40">
        <f>IF(OR(F18="",F18=0),"",G18/F18)</f>
        <v/>
      </c>
      <c r="I18" s="39" t="n"/>
      <c r="J18" s="39" t="n"/>
      <c r="K18" s="39" t="n"/>
      <c r="L18" s="39" t="n"/>
      <c r="M18" s="39" t="n"/>
      <c r="N18" s="39" t="n"/>
      <c r="O18" s="39" t="n"/>
      <c r="P18" s="39" t="n"/>
    </row>
    <row r="19" ht="18" customHeight="1">
      <c r="A19" s="39" t="n"/>
      <c r="B19" s="39" t="n"/>
      <c r="C19" s="39" t="n"/>
      <c r="D19" s="39" t="n"/>
      <c r="E19" s="39" t="n"/>
      <c r="F19" s="39" t="n"/>
      <c r="G19" s="39" t="n"/>
      <c r="H19" s="40">
        <f>IF(OR(F19="",F19=0),"",G19/F19)</f>
        <v/>
      </c>
      <c r="I19" s="39" t="n"/>
      <c r="J19" s="39" t="n"/>
      <c r="K19" s="39" t="n"/>
      <c r="L19" s="39" t="n"/>
      <c r="M19" s="39" t="n"/>
      <c r="N19" s="39" t="n"/>
      <c r="O19" s="39" t="n"/>
      <c r="P19" s="39" t="n"/>
    </row>
    <row r="20" ht="18" customHeight="1">
      <c r="A20" s="39" t="n"/>
      <c r="B20" s="39" t="n"/>
      <c r="C20" s="39" t="n"/>
      <c r="D20" s="39" t="n"/>
      <c r="E20" s="39" t="n"/>
      <c r="F20" s="39" t="n"/>
      <c r="G20" s="39" t="n"/>
      <c r="H20" s="40">
        <f>IF(OR(F20="",F20=0),"",G20/F20)</f>
        <v/>
      </c>
      <c r="I20" s="39" t="n"/>
      <c r="J20" s="39" t="n"/>
      <c r="K20" s="39" t="n"/>
      <c r="L20" s="39" t="n"/>
      <c r="M20" s="39" t="n"/>
      <c r="N20" s="39" t="n"/>
      <c r="O20" s="39" t="n"/>
      <c r="P20" s="39" t="n"/>
    </row>
    <row r="21" ht="18" customHeight="1">
      <c r="A21" s="39" t="n"/>
      <c r="B21" s="39" t="n"/>
      <c r="C21" s="39" t="n"/>
      <c r="D21" s="39" t="n"/>
      <c r="E21" s="39" t="n"/>
      <c r="F21" s="39" t="n"/>
      <c r="G21" s="39" t="n"/>
      <c r="H21" s="40">
        <f>IF(OR(F21="",F21=0),"",G21/F21)</f>
        <v/>
      </c>
      <c r="I21" s="39" t="n"/>
      <c r="J21" s="39" t="n"/>
      <c r="K21" s="39" t="n"/>
      <c r="L21" s="39" t="n"/>
      <c r="M21" s="39" t="n"/>
      <c r="N21" s="39" t="n"/>
      <c r="O21" s="39" t="n"/>
      <c r="P21" s="39" t="n"/>
    </row>
    <row r="22" ht="18" customHeight="1">
      <c r="A22" s="39" t="n"/>
      <c r="B22" s="39" t="n"/>
      <c r="C22" s="39" t="n"/>
      <c r="D22" s="39" t="n"/>
      <c r="E22" s="39" t="n"/>
      <c r="F22" s="39" t="n"/>
      <c r="G22" s="39" t="n"/>
      <c r="H22" s="40">
        <f>IF(OR(F22="",F22=0),"",G22/F22)</f>
        <v/>
      </c>
      <c r="I22" s="39" t="n"/>
      <c r="J22" s="39" t="n"/>
      <c r="K22" s="39" t="n"/>
      <c r="L22" s="39" t="n"/>
      <c r="M22" s="39" t="n"/>
      <c r="N22" s="39" t="n"/>
      <c r="O22" s="39" t="n"/>
      <c r="P22" s="39" t="n"/>
    </row>
    <row r="23" ht="18" customHeight="1">
      <c r="A23" s="39" t="n"/>
      <c r="B23" s="39" t="n"/>
      <c r="C23" s="39" t="n"/>
      <c r="D23" s="39" t="n"/>
      <c r="E23" s="39" t="n"/>
      <c r="F23" s="39" t="n"/>
      <c r="G23" s="39" t="n"/>
      <c r="H23" s="40">
        <f>IF(OR(F23="",F23=0),"",G23/F23)</f>
        <v/>
      </c>
      <c r="I23" s="39" t="n"/>
      <c r="J23" s="39" t="n"/>
      <c r="K23" s="39" t="n"/>
      <c r="L23" s="39" t="n"/>
      <c r="M23" s="39" t="n"/>
      <c r="N23" s="39" t="n"/>
      <c r="O23" s="39" t="n"/>
      <c r="P23" s="39" t="n"/>
    </row>
    <row r="24" ht="18" customHeight="1">
      <c r="A24" s="39" t="n"/>
      <c r="B24" s="39" t="n"/>
      <c r="C24" s="39" t="n"/>
      <c r="D24" s="39" t="n"/>
      <c r="E24" s="39" t="n"/>
      <c r="F24" s="39" t="n"/>
      <c r="G24" s="39" t="n"/>
      <c r="H24" s="40">
        <f>IF(OR(F24="",F24=0),"",G24/F24)</f>
        <v/>
      </c>
      <c r="I24" s="39" t="n"/>
      <c r="J24" s="39" t="n"/>
      <c r="K24" s="39" t="n"/>
      <c r="L24" s="39" t="n"/>
      <c r="M24" s="39" t="n"/>
      <c r="N24" s="39" t="n"/>
      <c r="O24" s="39" t="n"/>
      <c r="P24" s="39" t="n"/>
    </row>
    <row r="25" ht="18" customHeight="1">
      <c r="A25" s="39" t="n"/>
      <c r="B25" s="39" t="n"/>
      <c r="C25" s="39" t="n"/>
      <c r="D25" s="39" t="n"/>
      <c r="E25" s="39" t="n"/>
      <c r="F25" s="39" t="n"/>
      <c r="G25" s="39" t="n"/>
      <c r="H25" s="40">
        <f>IF(OR(F25="",F25=0),"",G25/F25)</f>
        <v/>
      </c>
      <c r="I25" s="39" t="n"/>
      <c r="J25" s="39" t="n"/>
      <c r="K25" s="39" t="n"/>
      <c r="L25" s="39" t="n"/>
      <c r="M25" s="39" t="n"/>
      <c r="N25" s="39" t="n"/>
      <c r="O25" s="39" t="n"/>
      <c r="P25" s="39" t="n"/>
    </row>
    <row r="26" ht="18" customHeight="1">
      <c r="A26" s="39" t="n"/>
      <c r="B26" s="39" t="n"/>
      <c r="C26" s="39" t="n"/>
      <c r="D26" s="39" t="n"/>
      <c r="E26" s="39" t="n"/>
      <c r="F26" s="39" t="n"/>
      <c r="G26" s="39" t="n"/>
      <c r="H26" s="40">
        <f>IF(OR(F26="",F26=0),"",G26/F26)</f>
        <v/>
      </c>
      <c r="I26" s="39" t="n"/>
      <c r="J26" s="39" t="n"/>
      <c r="K26" s="39" t="n"/>
      <c r="L26" s="39" t="n"/>
      <c r="M26" s="39" t="n"/>
      <c r="N26" s="39" t="n"/>
      <c r="O26" s="39" t="n"/>
      <c r="P26" s="39" t="n"/>
    </row>
    <row r="27" ht="18" customHeight="1">
      <c r="A27" s="39" t="n"/>
      <c r="B27" s="39" t="n"/>
      <c r="C27" s="39" t="n"/>
      <c r="D27" s="39" t="n"/>
      <c r="E27" s="39" t="n"/>
      <c r="F27" s="39" t="n"/>
      <c r="G27" s="39" t="n"/>
      <c r="H27" s="40">
        <f>IF(OR(F27="",F27=0),"",G27/F27)</f>
        <v/>
      </c>
      <c r="I27" s="39" t="n"/>
      <c r="J27" s="39" t="n"/>
      <c r="K27" s="39" t="n"/>
      <c r="L27" s="39" t="n"/>
      <c r="M27" s="39" t="n"/>
      <c r="N27" s="39" t="n"/>
      <c r="O27" s="39" t="n"/>
      <c r="P27" s="39" t="n"/>
    </row>
    <row r="28" ht="18" customHeight="1">
      <c r="A28" s="39" t="n"/>
      <c r="B28" s="39" t="n"/>
      <c r="C28" s="39" t="n"/>
      <c r="D28" s="39" t="n"/>
      <c r="E28" s="39" t="n"/>
      <c r="F28" s="39" t="n"/>
      <c r="G28" s="39" t="n"/>
      <c r="H28" s="40">
        <f>IF(OR(F28="",F28=0),"",G28/F28)</f>
        <v/>
      </c>
      <c r="I28" s="39" t="n"/>
      <c r="J28" s="39" t="n"/>
      <c r="K28" s="39" t="n"/>
      <c r="L28" s="39" t="n"/>
      <c r="M28" s="39" t="n"/>
      <c r="N28" s="39" t="n"/>
      <c r="O28" s="39" t="n"/>
      <c r="P28" s="39" t="n"/>
    </row>
    <row r="29" ht="18" customHeight="1">
      <c r="A29" s="39" t="n"/>
      <c r="B29" s="39" t="n"/>
      <c r="C29" s="39" t="n"/>
      <c r="D29" s="39" t="n"/>
      <c r="E29" s="39" t="n"/>
      <c r="F29" s="39" t="n"/>
      <c r="G29" s="39" t="n"/>
      <c r="H29" s="40">
        <f>IF(OR(F29="",F29=0),"",G29/F29)</f>
        <v/>
      </c>
      <c r="I29" s="39" t="n"/>
      <c r="J29" s="39" t="n"/>
      <c r="K29" s="39" t="n"/>
      <c r="L29" s="39" t="n"/>
      <c r="M29" s="39" t="n"/>
      <c r="N29" s="39" t="n"/>
      <c r="O29" s="39" t="n"/>
      <c r="P29" s="39" t="n"/>
    </row>
    <row r="30" ht="18" customHeight="1">
      <c r="A30" s="39" t="n"/>
      <c r="B30" s="39" t="n"/>
      <c r="C30" s="39" t="n"/>
      <c r="D30" s="39" t="n"/>
      <c r="E30" s="39" t="n"/>
      <c r="F30" s="39" t="n"/>
      <c r="G30" s="39" t="n"/>
      <c r="H30" s="40">
        <f>IF(OR(F30="",F30=0),"",G30/F30)</f>
        <v/>
      </c>
      <c r="I30" s="39" t="n"/>
      <c r="J30" s="39" t="n"/>
      <c r="K30" s="39" t="n"/>
      <c r="L30" s="39" t="n"/>
      <c r="M30" s="39" t="n"/>
      <c r="N30" s="39" t="n"/>
      <c r="O30" s="39" t="n"/>
      <c r="P30" s="39" t="n"/>
    </row>
    <row r="31" ht="18" customHeight="1">
      <c r="A31" s="39" t="n"/>
      <c r="B31" s="39" t="n"/>
      <c r="C31" s="39" t="n"/>
      <c r="D31" s="39" t="n"/>
      <c r="E31" s="39" t="n"/>
      <c r="F31" s="39" t="n"/>
      <c r="G31" s="39" t="n"/>
      <c r="H31" s="40">
        <f>IF(OR(F31="",F31=0),"",G31/F31)</f>
        <v/>
      </c>
      <c r="I31" s="39" t="n"/>
      <c r="J31" s="39" t="n"/>
      <c r="K31" s="39" t="n"/>
      <c r="L31" s="39" t="n"/>
      <c r="M31" s="39" t="n"/>
      <c r="N31" s="39" t="n"/>
      <c r="O31" s="39" t="n"/>
      <c r="P31" s="39" t="n"/>
    </row>
    <row r="32" ht="18" customHeight="1">
      <c r="A32" s="39" t="n"/>
      <c r="B32" s="39" t="n"/>
      <c r="C32" s="39" t="n"/>
      <c r="D32" s="39" t="n"/>
      <c r="E32" s="39" t="n"/>
      <c r="F32" s="39" t="n"/>
      <c r="G32" s="39" t="n"/>
      <c r="H32" s="40">
        <f>IF(OR(F32="",F32=0),"",G32/F32)</f>
        <v/>
      </c>
      <c r="I32" s="39" t="n"/>
      <c r="J32" s="39" t="n"/>
      <c r="K32" s="39" t="n"/>
      <c r="L32" s="39" t="n"/>
      <c r="M32" s="39" t="n"/>
      <c r="N32" s="39" t="n"/>
      <c r="O32" s="39" t="n"/>
      <c r="P32" s="39" t="n"/>
    </row>
    <row r="33" ht="18" customHeight="1">
      <c r="A33" s="39" t="n"/>
      <c r="B33" s="39" t="n"/>
      <c r="C33" s="39" t="n"/>
      <c r="D33" s="39" t="n"/>
      <c r="E33" s="39" t="n"/>
      <c r="F33" s="39" t="n"/>
      <c r="G33" s="39" t="n"/>
      <c r="H33" s="40">
        <f>IF(OR(F33="",F33=0),"",G33/F33)</f>
        <v/>
      </c>
      <c r="I33" s="39" t="n"/>
      <c r="J33" s="39" t="n"/>
      <c r="K33" s="39" t="n"/>
      <c r="L33" s="39" t="n"/>
      <c r="M33" s="39" t="n"/>
      <c r="N33" s="39" t="n"/>
      <c r="O33" s="39" t="n"/>
      <c r="P33" s="39" t="n"/>
    </row>
    <row r="34" ht="18" customHeight="1">
      <c r="A34" s="39" t="n"/>
      <c r="B34" s="39" t="n"/>
      <c r="C34" s="39" t="n"/>
      <c r="D34" s="39" t="n"/>
      <c r="E34" s="39" t="n"/>
      <c r="F34" s="39" t="n"/>
      <c r="G34" s="39" t="n"/>
      <c r="H34" s="40">
        <f>IF(OR(F34="",F34=0),"",G34/F34)</f>
        <v/>
      </c>
      <c r="I34" s="39" t="n"/>
      <c r="J34" s="39" t="n"/>
      <c r="K34" s="39" t="n"/>
      <c r="L34" s="39" t="n"/>
      <c r="M34" s="39" t="n"/>
      <c r="N34" s="39" t="n"/>
      <c r="O34" s="39" t="n"/>
      <c r="P34" s="39" t="n"/>
    </row>
    <row r="35" ht="18" customHeight="1">
      <c r="A35" s="39" t="n"/>
      <c r="B35" s="39" t="n"/>
      <c r="C35" s="39" t="n"/>
      <c r="D35" s="39" t="n"/>
      <c r="E35" s="39" t="n"/>
      <c r="F35" s="39" t="n"/>
      <c r="G35" s="39" t="n"/>
      <c r="H35" s="40">
        <f>IF(OR(F35="",F35=0),"",G35/F35)</f>
        <v/>
      </c>
      <c r="I35" s="39" t="n"/>
      <c r="J35" s="39" t="n"/>
      <c r="K35" s="39" t="n"/>
      <c r="L35" s="39" t="n"/>
      <c r="M35" s="39" t="n"/>
      <c r="N35" s="39" t="n"/>
      <c r="O35" s="39" t="n"/>
      <c r="P35" s="39" t="n"/>
    </row>
    <row r="36" ht="18" customHeight="1">
      <c r="A36" s="39" t="n"/>
      <c r="B36" s="39" t="n"/>
      <c r="C36" s="39" t="n"/>
      <c r="D36" s="39" t="n"/>
      <c r="E36" s="39" t="n"/>
      <c r="F36" s="39" t="n"/>
      <c r="G36" s="39" t="n"/>
      <c r="H36" s="40">
        <f>IF(OR(F36="",F36=0),"",G36/F36)</f>
        <v/>
      </c>
      <c r="I36" s="39" t="n"/>
      <c r="J36" s="39" t="n"/>
      <c r="K36" s="39" t="n"/>
      <c r="L36" s="39" t="n"/>
      <c r="M36" s="39" t="n"/>
      <c r="N36" s="39" t="n"/>
      <c r="O36" s="39" t="n"/>
      <c r="P36" s="39" t="n"/>
    </row>
    <row r="37" ht="18" customHeight="1">
      <c r="A37" s="39" t="n"/>
      <c r="B37" s="39" t="n"/>
      <c r="C37" s="39" t="n"/>
      <c r="D37" s="39" t="n"/>
      <c r="E37" s="39" t="n"/>
      <c r="F37" s="39" t="n"/>
      <c r="G37" s="39" t="n"/>
      <c r="H37" s="40">
        <f>IF(OR(F37="",F37=0),"",G37/F37)</f>
        <v/>
      </c>
      <c r="I37" s="39" t="n"/>
      <c r="J37" s="39" t="n"/>
      <c r="K37" s="39" t="n"/>
      <c r="L37" s="39" t="n"/>
      <c r="M37" s="39" t="n"/>
      <c r="N37" s="39" t="n"/>
      <c r="O37" s="39" t="n"/>
      <c r="P37" s="39" t="n"/>
    </row>
    <row r="38" ht="18" customHeight="1">
      <c r="A38" s="39" t="n"/>
      <c r="B38" s="39" t="n"/>
      <c r="C38" s="39" t="n"/>
      <c r="D38" s="39" t="n"/>
      <c r="E38" s="39" t="n"/>
      <c r="F38" s="39" t="n"/>
      <c r="G38" s="39" t="n"/>
      <c r="H38" s="40">
        <f>IF(OR(F38="",F38=0),"",G38/F38)</f>
        <v/>
      </c>
      <c r="I38" s="39" t="n"/>
      <c r="J38" s="39" t="n"/>
      <c r="K38" s="39" t="n"/>
      <c r="L38" s="39" t="n"/>
      <c r="M38" s="39" t="n"/>
      <c r="N38" s="39" t="n"/>
      <c r="O38" s="39" t="n"/>
      <c r="P38" s="39" t="n"/>
    </row>
    <row r="39" ht="18" customHeight="1">
      <c r="A39" s="39" t="n"/>
      <c r="B39" s="39" t="n"/>
      <c r="C39" s="39" t="n"/>
      <c r="D39" s="39" t="n"/>
      <c r="E39" s="39" t="n"/>
      <c r="F39" s="39" t="n"/>
      <c r="G39" s="39" t="n"/>
      <c r="H39" s="40">
        <f>IF(OR(F39="",F39=0),"",G39/F39)</f>
        <v/>
      </c>
      <c r="I39" s="39" t="n"/>
      <c r="J39" s="39" t="n"/>
      <c r="K39" s="39" t="n"/>
      <c r="L39" s="39" t="n"/>
      <c r="M39" s="39" t="n"/>
      <c r="N39" s="39" t="n"/>
      <c r="O39" s="39" t="n"/>
      <c r="P39" s="39" t="n"/>
    </row>
    <row r="40" ht="18" customHeight="1">
      <c r="A40" s="39" t="n"/>
      <c r="B40" s="39" t="n"/>
      <c r="C40" s="39" t="n"/>
      <c r="D40" s="39" t="n"/>
      <c r="E40" s="39" t="n"/>
      <c r="F40" s="39" t="n"/>
      <c r="G40" s="39" t="n"/>
      <c r="H40" s="40">
        <f>IF(OR(F40="",F40=0),"",G40/F40)</f>
        <v/>
      </c>
      <c r="I40" s="39" t="n"/>
      <c r="J40" s="39" t="n"/>
      <c r="K40" s="39" t="n"/>
      <c r="L40" s="39" t="n"/>
      <c r="M40" s="39" t="n"/>
      <c r="N40" s="39" t="n"/>
      <c r="O40" s="39" t="n"/>
      <c r="P40" s="39" t="n"/>
    </row>
    <row r="41" ht="18" customHeight="1">
      <c r="A41" s="39" t="n"/>
      <c r="B41" s="39" t="n"/>
      <c r="C41" s="39" t="n"/>
      <c r="D41" s="39" t="n"/>
      <c r="E41" s="39" t="n"/>
      <c r="F41" s="39" t="n"/>
      <c r="G41" s="39" t="n"/>
      <c r="H41" s="40">
        <f>IF(OR(F41="",F41=0),"",G41/F41)</f>
        <v/>
      </c>
      <c r="I41" s="39" t="n"/>
      <c r="J41" s="39" t="n"/>
      <c r="K41" s="39" t="n"/>
      <c r="L41" s="39" t="n"/>
      <c r="M41" s="39" t="n"/>
      <c r="N41" s="39" t="n"/>
      <c r="O41" s="39" t="n"/>
      <c r="P41" s="39" t="n"/>
    </row>
    <row r="42" ht="18" customHeight="1">
      <c r="A42" s="39" t="n"/>
      <c r="B42" s="39" t="n"/>
      <c r="C42" s="39" t="n"/>
      <c r="D42" s="39" t="n"/>
      <c r="E42" s="39" t="n"/>
      <c r="F42" s="39" t="n"/>
      <c r="G42" s="39" t="n"/>
      <c r="H42" s="40">
        <f>IF(OR(F42="",F42=0),"",G42/F42)</f>
        <v/>
      </c>
      <c r="I42" s="39" t="n"/>
      <c r="J42" s="39" t="n"/>
      <c r="K42" s="39" t="n"/>
      <c r="L42" s="39" t="n"/>
      <c r="M42" s="39" t="n"/>
      <c r="N42" s="39" t="n"/>
      <c r="O42" s="39" t="n"/>
      <c r="P42" s="39" t="n"/>
    </row>
    <row r="43" ht="18" customHeight="1">
      <c r="A43" s="39" t="n"/>
      <c r="B43" s="39" t="n"/>
      <c r="C43" s="39" t="n"/>
      <c r="D43" s="39" t="n"/>
      <c r="E43" s="39" t="n"/>
      <c r="F43" s="39" t="n"/>
      <c r="G43" s="39" t="n"/>
      <c r="H43" s="40">
        <f>IF(OR(F43="",F43=0),"",G43/F43)</f>
        <v/>
      </c>
      <c r="I43" s="39" t="n"/>
      <c r="J43" s="39" t="n"/>
      <c r="K43" s="39" t="n"/>
      <c r="L43" s="39" t="n"/>
      <c r="M43" s="39" t="n"/>
      <c r="N43" s="39" t="n"/>
      <c r="O43" s="39" t="n"/>
      <c r="P43" s="39" t="n"/>
    </row>
    <row r="44" ht="18" customHeight="1">
      <c r="A44" s="39" t="n"/>
      <c r="B44" s="39" t="n"/>
      <c r="C44" s="39" t="n"/>
      <c r="D44" s="39" t="n"/>
      <c r="E44" s="39" t="n"/>
      <c r="F44" s="39" t="n"/>
      <c r="G44" s="39" t="n"/>
      <c r="H44" s="40">
        <f>IF(OR(F44="",F44=0),"",G44/F44)</f>
        <v/>
      </c>
      <c r="I44" s="39" t="n"/>
      <c r="J44" s="39" t="n"/>
      <c r="K44" s="39" t="n"/>
      <c r="L44" s="39" t="n"/>
      <c r="M44" s="39" t="n"/>
      <c r="N44" s="39" t="n"/>
      <c r="O44" s="39" t="n"/>
      <c r="P44" s="39" t="n"/>
    </row>
    <row r="45" ht="18" customHeight="1">
      <c r="A45" s="39" t="n"/>
      <c r="B45" s="39" t="n"/>
      <c r="C45" s="39" t="n"/>
      <c r="D45" s="39" t="n"/>
      <c r="E45" s="39" t="n"/>
      <c r="F45" s="39" t="n"/>
      <c r="G45" s="39" t="n"/>
      <c r="H45" s="40">
        <f>IF(OR(F45="",F45=0),"",G45/F45)</f>
        <v/>
      </c>
      <c r="I45" s="39" t="n"/>
      <c r="J45" s="39" t="n"/>
      <c r="K45" s="39" t="n"/>
      <c r="L45" s="39" t="n"/>
      <c r="M45" s="39" t="n"/>
      <c r="N45" s="39" t="n"/>
      <c r="O45" s="39" t="n"/>
      <c r="P45" s="39" t="n"/>
    </row>
    <row r="46" ht="18" customHeight="1">
      <c r="A46" s="39" t="n"/>
      <c r="B46" s="39" t="n"/>
      <c r="C46" s="39" t="n"/>
      <c r="D46" s="39" t="n"/>
      <c r="E46" s="39" t="n"/>
      <c r="F46" s="39" t="n"/>
      <c r="G46" s="39" t="n"/>
      <c r="H46" s="40">
        <f>IF(OR(F46="",F46=0),"",G46/F46)</f>
        <v/>
      </c>
      <c r="I46" s="39" t="n"/>
      <c r="J46" s="39" t="n"/>
      <c r="K46" s="39" t="n"/>
      <c r="L46" s="39" t="n"/>
      <c r="M46" s="39" t="n"/>
      <c r="N46" s="39" t="n"/>
      <c r="O46" s="39" t="n"/>
      <c r="P46" s="39" t="n"/>
    </row>
    <row r="47" ht="18" customHeight="1">
      <c r="A47" s="39" t="n"/>
      <c r="B47" s="39" t="n"/>
      <c r="C47" s="39" t="n"/>
      <c r="D47" s="39" t="n"/>
      <c r="E47" s="39" t="n"/>
      <c r="F47" s="39" t="n"/>
      <c r="G47" s="39" t="n"/>
      <c r="H47" s="40">
        <f>IF(OR(F47="",F47=0),"",G47/F47)</f>
        <v/>
      </c>
      <c r="I47" s="39" t="n"/>
      <c r="J47" s="39" t="n"/>
      <c r="K47" s="39" t="n"/>
      <c r="L47" s="39" t="n"/>
      <c r="M47" s="39" t="n"/>
      <c r="N47" s="39" t="n"/>
      <c r="O47" s="39" t="n"/>
      <c r="P47" s="39" t="n"/>
    </row>
    <row r="48" ht="18" customHeight="1">
      <c r="A48" s="39" t="n"/>
      <c r="B48" s="39" t="n"/>
      <c r="C48" s="39" t="n"/>
      <c r="D48" s="39" t="n"/>
      <c r="E48" s="39" t="n"/>
      <c r="F48" s="39" t="n"/>
      <c r="G48" s="39" t="n"/>
      <c r="H48" s="40">
        <f>IF(OR(F48="",F48=0),"",G48/F48)</f>
        <v/>
      </c>
      <c r="I48" s="39" t="n"/>
      <c r="J48" s="39" t="n"/>
      <c r="K48" s="39" t="n"/>
      <c r="L48" s="39" t="n"/>
      <c r="M48" s="39" t="n"/>
      <c r="N48" s="39" t="n"/>
      <c r="O48" s="39" t="n"/>
      <c r="P48" s="39" t="n"/>
    </row>
    <row r="49" ht="18" customHeight="1">
      <c r="A49" s="39" t="n"/>
      <c r="B49" s="39" t="n"/>
      <c r="C49" s="39" t="n"/>
      <c r="D49" s="39" t="n"/>
      <c r="E49" s="39" t="n"/>
      <c r="F49" s="39" t="n"/>
      <c r="G49" s="39" t="n"/>
      <c r="H49" s="40">
        <f>IF(OR(F49="",F49=0),"",G49/F49)</f>
        <v/>
      </c>
      <c r="I49" s="39" t="n"/>
      <c r="J49" s="39" t="n"/>
      <c r="K49" s="39" t="n"/>
      <c r="L49" s="39" t="n"/>
      <c r="M49" s="39" t="n"/>
      <c r="N49" s="39" t="n"/>
      <c r="O49" s="39" t="n"/>
      <c r="P49" s="39" t="n"/>
    </row>
    <row r="50" ht="18" customHeight="1">
      <c r="A50" s="39" t="n"/>
      <c r="B50" s="39" t="n"/>
      <c r="C50" s="39" t="n"/>
      <c r="D50" s="39" t="n"/>
      <c r="E50" s="39" t="n"/>
      <c r="F50" s="39" t="n"/>
      <c r="G50" s="39" t="n"/>
      <c r="H50" s="40">
        <f>IF(OR(F50="",F50=0),"",G50/F50)</f>
        <v/>
      </c>
      <c r="I50" s="39" t="n"/>
      <c r="J50" s="39" t="n"/>
      <c r="K50" s="39" t="n"/>
      <c r="L50" s="39" t="n"/>
      <c r="M50" s="39" t="n"/>
      <c r="N50" s="39" t="n"/>
      <c r="O50" s="39" t="n"/>
      <c r="P50" s="39" t="n"/>
    </row>
    <row r="51" ht="18" customHeight="1">
      <c r="A51" s="39" t="n"/>
      <c r="B51" s="39" t="n"/>
      <c r="C51" s="39" t="n"/>
      <c r="D51" s="39" t="n"/>
      <c r="E51" s="39" t="n"/>
      <c r="F51" s="39" t="n"/>
      <c r="G51" s="39" t="n"/>
      <c r="H51" s="40">
        <f>IF(OR(F51="",F51=0),"",G51/F51)</f>
        <v/>
      </c>
      <c r="I51" s="39" t="n"/>
      <c r="J51" s="39" t="n"/>
      <c r="K51" s="39" t="n"/>
      <c r="L51" s="39" t="n"/>
      <c r="M51" s="39" t="n"/>
      <c r="N51" s="39" t="n"/>
      <c r="O51" s="39" t="n"/>
      <c r="P51" s="39" t="n"/>
    </row>
    <row r="52" ht="18" customHeight="1">
      <c r="A52" s="39" t="n"/>
      <c r="B52" s="39" t="n"/>
      <c r="C52" s="39" t="n"/>
      <c r="D52" s="39" t="n"/>
      <c r="E52" s="39" t="n"/>
      <c r="F52" s="39" t="n"/>
      <c r="G52" s="39" t="n"/>
      <c r="H52" s="40">
        <f>IF(OR(F52="",F52=0),"",G52/F52)</f>
        <v/>
      </c>
      <c r="I52" s="39" t="n"/>
      <c r="J52" s="39" t="n"/>
      <c r="K52" s="39" t="n"/>
      <c r="L52" s="39" t="n"/>
      <c r="M52" s="39" t="n"/>
      <c r="N52" s="39" t="n"/>
      <c r="O52" s="39" t="n"/>
      <c r="P52" s="39" t="n"/>
    </row>
    <row r="53" ht="18" customHeight="1">
      <c r="A53" s="39" t="n"/>
      <c r="B53" s="39" t="n"/>
      <c r="C53" s="39" t="n"/>
      <c r="D53" s="39" t="n"/>
      <c r="E53" s="39" t="n"/>
      <c r="F53" s="39" t="n"/>
      <c r="G53" s="39" t="n"/>
      <c r="H53" s="40">
        <f>IF(OR(F53="",F53=0),"",G53/F53)</f>
        <v/>
      </c>
      <c r="I53" s="39" t="n"/>
      <c r="J53" s="39" t="n"/>
      <c r="K53" s="39" t="n"/>
      <c r="L53" s="39" t="n"/>
      <c r="M53" s="39" t="n"/>
      <c r="N53" s="39" t="n"/>
      <c r="O53" s="39" t="n"/>
      <c r="P53" s="39" t="n"/>
    </row>
    <row r="54" ht="18" customHeight="1">
      <c r="A54" s="39" t="n"/>
      <c r="B54" s="39" t="n"/>
      <c r="C54" s="39" t="n"/>
      <c r="D54" s="39" t="n"/>
      <c r="E54" s="39" t="n"/>
      <c r="F54" s="39" t="n"/>
      <c r="G54" s="39" t="n"/>
      <c r="H54" s="40">
        <f>IF(OR(F54="",F54=0),"",G54/F54)</f>
        <v/>
      </c>
      <c r="I54" s="39" t="n"/>
      <c r="J54" s="39" t="n"/>
      <c r="K54" s="39" t="n"/>
      <c r="L54" s="39" t="n"/>
      <c r="M54" s="39" t="n"/>
      <c r="N54" s="39" t="n"/>
      <c r="O54" s="39" t="n"/>
      <c r="P54" s="39" t="n"/>
    </row>
    <row r="55" ht="18" customHeight="1">
      <c r="A55" s="39" t="n"/>
      <c r="B55" s="39" t="n"/>
      <c r="C55" s="39" t="n"/>
      <c r="D55" s="39" t="n"/>
      <c r="E55" s="39" t="n"/>
      <c r="F55" s="39" t="n"/>
      <c r="G55" s="39" t="n"/>
      <c r="H55" s="40">
        <f>IF(OR(F55="",F55=0),"",G55/F55)</f>
        <v/>
      </c>
      <c r="I55" s="39" t="n"/>
      <c r="J55" s="39" t="n"/>
      <c r="K55" s="39" t="n"/>
      <c r="L55" s="39" t="n"/>
      <c r="M55" s="39" t="n"/>
      <c r="N55" s="39" t="n"/>
      <c r="O55" s="39" t="n"/>
      <c r="P55" s="39" t="n"/>
    </row>
    <row r="56" ht="18" customHeight="1">
      <c r="A56" s="39" t="n"/>
      <c r="B56" s="39" t="n"/>
      <c r="C56" s="39" t="n"/>
      <c r="D56" s="39" t="n"/>
      <c r="E56" s="39" t="n"/>
      <c r="F56" s="39" t="n"/>
      <c r="G56" s="39" t="n"/>
      <c r="H56" s="40">
        <f>IF(OR(F56="",F56=0),"",G56/F56)</f>
        <v/>
      </c>
      <c r="I56" s="39" t="n"/>
      <c r="J56" s="39" t="n"/>
      <c r="K56" s="39" t="n"/>
      <c r="L56" s="39" t="n"/>
      <c r="M56" s="39" t="n"/>
      <c r="N56" s="39" t="n"/>
      <c r="O56" s="39" t="n"/>
      <c r="P56" s="39" t="n"/>
    </row>
    <row r="57" ht="18" customHeight="1">
      <c r="A57" s="39" t="n"/>
      <c r="B57" s="39" t="n"/>
      <c r="C57" s="39" t="n"/>
      <c r="D57" s="39" t="n"/>
      <c r="E57" s="39" t="n"/>
      <c r="F57" s="39" t="n"/>
      <c r="G57" s="39" t="n"/>
      <c r="H57" s="40">
        <f>IF(OR(F57="",F57=0),"",G57/F57)</f>
        <v/>
      </c>
      <c r="I57" s="39" t="n"/>
      <c r="J57" s="39" t="n"/>
      <c r="K57" s="39" t="n"/>
      <c r="L57" s="39" t="n"/>
      <c r="M57" s="39" t="n"/>
      <c r="N57" s="39" t="n"/>
      <c r="O57" s="39" t="n"/>
      <c r="P57" s="39" t="n"/>
    </row>
    <row r="58" ht="18" customHeight="1">
      <c r="A58" s="39" t="n"/>
      <c r="B58" s="39" t="n"/>
      <c r="C58" s="39" t="n"/>
      <c r="D58" s="39" t="n"/>
      <c r="E58" s="39" t="n"/>
      <c r="F58" s="39" t="n"/>
      <c r="G58" s="39" t="n"/>
      <c r="H58" s="40">
        <f>IF(OR(F58="",F58=0),"",G58/F58)</f>
        <v/>
      </c>
      <c r="I58" s="39" t="n"/>
      <c r="J58" s="39" t="n"/>
      <c r="K58" s="39" t="n"/>
      <c r="L58" s="39" t="n"/>
      <c r="M58" s="39" t="n"/>
      <c r="N58" s="39" t="n"/>
      <c r="O58" s="39" t="n"/>
      <c r="P58" s="39" t="n"/>
    </row>
    <row r="59" ht="18" customHeight="1">
      <c r="A59" s="39" t="n"/>
      <c r="B59" s="39" t="n"/>
      <c r="C59" s="39" t="n"/>
      <c r="D59" s="39" t="n"/>
      <c r="E59" s="39" t="n"/>
      <c r="F59" s="39" t="n"/>
      <c r="G59" s="39" t="n"/>
      <c r="H59" s="40">
        <f>IF(OR(F59="",F59=0),"",G59/F59)</f>
        <v/>
      </c>
      <c r="I59" s="39" t="n"/>
      <c r="J59" s="39" t="n"/>
      <c r="K59" s="39" t="n"/>
      <c r="L59" s="39" t="n"/>
      <c r="M59" s="39" t="n"/>
      <c r="N59" s="39" t="n"/>
      <c r="O59" s="39" t="n"/>
      <c r="P59" s="39" t="n"/>
    </row>
    <row r="60" ht="18" customHeight="1">
      <c r="A60" s="39" t="n"/>
      <c r="B60" s="39" t="n"/>
      <c r="C60" s="39" t="n"/>
      <c r="D60" s="39" t="n"/>
      <c r="E60" s="39" t="n"/>
      <c r="F60" s="39" t="n"/>
      <c r="G60" s="39" t="n"/>
      <c r="H60" s="40">
        <f>IF(OR(F60="",F60=0),"",G60/F60)</f>
        <v/>
      </c>
      <c r="I60" s="39" t="n"/>
      <c r="J60" s="39" t="n"/>
      <c r="K60" s="39" t="n"/>
      <c r="L60" s="39" t="n"/>
      <c r="M60" s="39" t="n"/>
      <c r="N60" s="39" t="n"/>
      <c r="O60" s="39" t="n"/>
      <c r="P60" s="39" t="n"/>
    </row>
    <row r="61" ht="18" customHeight="1">
      <c r="A61" s="39" t="n"/>
      <c r="B61" s="39" t="n"/>
      <c r="C61" s="39" t="n"/>
      <c r="D61" s="39" t="n"/>
      <c r="E61" s="39" t="n"/>
      <c r="F61" s="39" t="n"/>
      <c r="G61" s="39" t="n"/>
      <c r="H61" s="40">
        <f>IF(OR(F61="",F61=0),"",G61/F61)</f>
        <v/>
      </c>
      <c r="I61" s="39" t="n"/>
      <c r="J61" s="39" t="n"/>
      <c r="K61" s="39" t="n"/>
      <c r="L61" s="39" t="n"/>
      <c r="M61" s="39" t="n"/>
      <c r="N61" s="39" t="n"/>
      <c r="O61" s="39" t="n"/>
      <c r="P61" s="39" t="n"/>
    </row>
    <row r="62" ht="18" customHeight="1">
      <c r="A62" s="39" t="n"/>
      <c r="B62" s="39" t="n"/>
      <c r="C62" s="39" t="n"/>
      <c r="D62" s="39" t="n"/>
      <c r="E62" s="39" t="n"/>
      <c r="F62" s="39" t="n"/>
      <c r="G62" s="39" t="n"/>
      <c r="H62" s="40">
        <f>IF(OR(F62="",F62=0),"",G62/F62)</f>
        <v/>
      </c>
      <c r="I62" s="39" t="n"/>
      <c r="J62" s="39" t="n"/>
      <c r="K62" s="39" t="n"/>
      <c r="L62" s="39" t="n"/>
      <c r="M62" s="39" t="n"/>
      <c r="N62" s="39" t="n"/>
      <c r="O62" s="39" t="n"/>
      <c r="P62" s="39" t="n"/>
    </row>
    <row r="63" ht="18" customHeight="1">
      <c r="A63" s="39" t="n"/>
      <c r="B63" s="39" t="n"/>
      <c r="C63" s="39" t="n"/>
      <c r="D63" s="39" t="n"/>
      <c r="E63" s="39" t="n"/>
      <c r="F63" s="39" t="n"/>
      <c r="G63" s="39" t="n"/>
      <c r="H63" s="40">
        <f>IF(OR(F63="",F63=0),"",G63/F63)</f>
        <v/>
      </c>
      <c r="I63" s="39" t="n"/>
      <c r="J63" s="39" t="n"/>
      <c r="K63" s="39" t="n"/>
      <c r="L63" s="39" t="n"/>
      <c r="M63" s="39" t="n"/>
      <c r="N63" s="39" t="n"/>
      <c r="O63" s="39" t="n"/>
      <c r="P63" s="39" t="n"/>
    </row>
    <row r="64" ht="18" customHeight="1">
      <c r="A64" s="39" t="n"/>
      <c r="B64" s="39" t="n"/>
      <c r="C64" s="39" t="n"/>
      <c r="D64" s="39" t="n"/>
      <c r="E64" s="39" t="n"/>
      <c r="F64" s="39" t="n"/>
      <c r="G64" s="39" t="n"/>
      <c r="H64" s="40">
        <f>IF(OR(F64="",F64=0),"",G64/F64)</f>
        <v/>
      </c>
      <c r="I64" s="39" t="n"/>
      <c r="J64" s="39" t="n"/>
      <c r="K64" s="39" t="n"/>
      <c r="L64" s="39" t="n"/>
      <c r="M64" s="39" t="n"/>
      <c r="N64" s="39" t="n"/>
      <c r="O64" s="39" t="n"/>
      <c r="P64" s="39" t="n"/>
    </row>
    <row r="65" ht="18" customHeight="1">
      <c r="A65" s="39" t="n"/>
      <c r="B65" s="39" t="n"/>
      <c r="C65" s="39" t="n"/>
      <c r="D65" s="39" t="n"/>
      <c r="E65" s="39" t="n"/>
      <c r="F65" s="39" t="n"/>
      <c r="G65" s="39" t="n"/>
      <c r="H65" s="40">
        <f>IF(OR(F65="",F65=0),"",G65/F65)</f>
        <v/>
      </c>
      <c r="I65" s="39" t="n"/>
      <c r="J65" s="39" t="n"/>
      <c r="K65" s="39" t="n"/>
      <c r="L65" s="39" t="n"/>
      <c r="M65" s="39" t="n"/>
      <c r="N65" s="39" t="n"/>
      <c r="O65" s="39" t="n"/>
      <c r="P65" s="39" t="n"/>
    </row>
    <row r="66" ht="18" customHeight="1">
      <c r="A66" s="39" t="n"/>
      <c r="B66" s="39" t="n"/>
      <c r="C66" s="39" t="n"/>
      <c r="D66" s="39" t="n"/>
      <c r="E66" s="39" t="n"/>
      <c r="F66" s="39" t="n"/>
      <c r="G66" s="39" t="n"/>
      <c r="H66" s="40">
        <f>IF(OR(F66="",F66=0),"",G66/F66)</f>
        <v/>
      </c>
      <c r="I66" s="39" t="n"/>
      <c r="J66" s="39" t="n"/>
      <c r="K66" s="39" t="n"/>
      <c r="L66" s="39" t="n"/>
      <c r="M66" s="39" t="n"/>
      <c r="N66" s="39" t="n"/>
      <c r="O66" s="39" t="n"/>
      <c r="P66" s="39" t="n"/>
    </row>
    <row r="67" ht="18" customHeight="1">
      <c r="A67" s="39" t="n"/>
      <c r="B67" s="39" t="n"/>
      <c r="C67" s="39" t="n"/>
      <c r="D67" s="39" t="n"/>
      <c r="E67" s="39" t="n"/>
      <c r="F67" s="39" t="n"/>
      <c r="G67" s="39" t="n"/>
      <c r="H67" s="40">
        <f>IF(OR(F67="",F67=0),"",G67/F67)</f>
        <v/>
      </c>
      <c r="I67" s="39" t="n"/>
      <c r="J67" s="39" t="n"/>
      <c r="K67" s="39" t="n"/>
      <c r="L67" s="39" t="n"/>
      <c r="M67" s="39" t="n"/>
      <c r="N67" s="39" t="n"/>
      <c r="O67" s="39" t="n"/>
      <c r="P67" s="39" t="n"/>
    </row>
    <row r="68" ht="18" customHeight="1">
      <c r="A68" s="39" t="n"/>
      <c r="B68" s="39" t="n"/>
      <c r="C68" s="39" t="n"/>
      <c r="D68" s="39" t="n"/>
      <c r="E68" s="39" t="n"/>
      <c r="F68" s="39" t="n"/>
      <c r="G68" s="39" t="n"/>
      <c r="H68" s="40">
        <f>IF(OR(F68="",F68=0),"",G68/F68)</f>
        <v/>
      </c>
      <c r="I68" s="39" t="n"/>
      <c r="J68" s="39" t="n"/>
      <c r="K68" s="39" t="n"/>
      <c r="L68" s="39" t="n"/>
      <c r="M68" s="39" t="n"/>
      <c r="N68" s="39" t="n"/>
      <c r="O68" s="39" t="n"/>
      <c r="P68" s="39" t="n"/>
    </row>
    <row r="69" ht="18" customHeight="1">
      <c r="A69" s="39" t="n"/>
      <c r="B69" s="39" t="n"/>
      <c r="C69" s="39" t="n"/>
      <c r="D69" s="39" t="n"/>
      <c r="E69" s="39" t="n"/>
      <c r="F69" s="39" t="n"/>
      <c r="G69" s="39" t="n"/>
      <c r="H69" s="40">
        <f>IF(OR(F69="",F69=0),"",G69/F69)</f>
        <v/>
      </c>
      <c r="I69" s="39" t="n"/>
      <c r="J69" s="39" t="n"/>
      <c r="K69" s="39" t="n"/>
      <c r="L69" s="39" t="n"/>
      <c r="M69" s="39" t="n"/>
      <c r="N69" s="39" t="n"/>
      <c r="O69" s="39" t="n"/>
      <c r="P69" s="39" t="n"/>
    </row>
    <row r="70" ht="18" customHeight="1">
      <c r="A70" s="39" t="n"/>
      <c r="B70" s="39" t="n"/>
      <c r="C70" s="39" t="n"/>
      <c r="D70" s="39" t="n"/>
      <c r="E70" s="39" t="n"/>
      <c r="F70" s="39" t="n"/>
      <c r="G70" s="39" t="n"/>
      <c r="H70" s="40">
        <f>IF(OR(F70="",F70=0),"",G70/F70)</f>
        <v/>
      </c>
      <c r="I70" s="39" t="n"/>
      <c r="J70" s="39" t="n"/>
      <c r="K70" s="39" t="n"/>
      <c r="L70" s="39" t="n"/>
      <c r="M70" s="39" t="n"/>
      <c r="N70" s="39" t="n"/>
      <c r="O70" s="39" t="n"/>
      <c r="P70" s="39" t="n"/>
    </row>
    <row r="71" ht="18" customHeight="1">
      <c r="A71" s="39" t="n"/>
      <c r="B71" s="39" t="n"/>
      <c r="C71" s="39" t="n"/>
      <c r="D71" s="39" t="n"/>
      <c r="E71" s="39" t="n"/>
      <c r="F71" s="39" t="n"/>
      <c r="G71" s="39" t="n"/>
      <c r="H71" s="40">
        <f>IF(OR(F71="",F71=0),"",G71/F71)</f>
        <v/>
      </c>
      <c r="I71" s="39" t="n"/>
      <c r="J71" s="39" t="n"/>
      <c r="K71" s="39" t="n"/>
      <c r="L71" s="39" t="n"/>
      <c r="M71" s="39" t="n"/>
      <c r="N71" s="39" t="n"/>
      <c r="O71" s="39" t="n"/>
      <c r="P71" s="39" t="n"/>
    </row>
    <row r="72" ht="18" customHeight="1">
      <c r="A72" s="39" t="n"/>
      <c r="B72" s="39" t="n"/>
      <c r="C72" s="39" t="n"/>
      <c r="D72" s="39" t="n"/>
      <c r="E72" s="39" t="n"/>
      <c r="F72" s="39" t="n"/>
      <c r="G72" s="39" t="n"/>
      <c r="H72" s="40">
        <f>IF(OR(F72="",F72=0),"",G72/F72)</f>
        <v/>
      </c>
      <c r="I72" s="39" t="n"/>
      <c r="J72" s="39" t="n"/>
      <c r="K72" s="39" t="n"/>
      <c r="L72" s="39" t="n"/>
      <c r="M72" s="39" t="n"/>
      <c r="N72" s="39" t="n"/>
      <c r="O72" s="39" t="n"/>
      <c r="P72" s="39" t="n"/>
    </row>
    <row r="73" ht="18" customHeight="1">
      <c r="A73" s="39" t="n"/>
      <c r="B73" s="39" t="n"/>
      <c r="C73" s="39" t="n"/>
      <c r="D73" s="39" t="n"/>
      <c r="E73" s="39" t="n"/>
      <c r="F73" s="39" t="n"/>
      <c r="G73" s="39" t="n"/>
      <c r="H73" s="40">
        <f>IF(OR(F73="",F73=0),"",G73/F73)</f>
        <v/>
      </c>
      <c r="I73" s="39" t="n"/>
      <c r="J73" s="39" t="n"/>
      <c r="K73" s="39" t="n"/>
      <c r="L73" s="39" t="n"/>
      <c r="M73" s="39" t="n"/>
      <c r="N73" s="39" t="n"/>
      <c r="O73" s="39" t="n"/>
      <c r="P73" s="39" t="n"/>
    </row>
    <row r="74" ht="18" customHeight="1">
      <c r="A74" s="39" t="n"/>
      <c r="B74" s="39" t="n"/>
      <c r="C74" s="39" t="n"/>
      <c r="D74" s="39" t="n"/>
      <c r="E74" s="39" t="n"/>
      <c r="F74" s="39" t="n"/>
      <c r="G74" s="39" t="n"/>
      <c r="H74" s="40">
        <f>IF(OR(F74="",F74=0),"",G74/F74)</f>
        <v/>
      </c>
      <c r="I74" s="39" t="n"/>
      <c r="J74" s="39" t="n"/>
      <c r="K74" s="39" t="n"/>
      <c r="L74" s="39" t="n"/>
      <c r="M74" s="39" t="n"/>
      <c r="N74" s="39" t="n"/>
      <c r="O74" s="39" t="n"/>
      <c r="P74" s="39" t="n"/>
    </row>
    <row r="75" ht="18" customHeight="1">
      <c r="A75" s="39" t="n"/>
      <c r="B75" s="39" t="n"/>
      <c r="C75" s="39" t="n"/>
      <c r="D75" s="39" t="n"/>
      <c r="E75" s="39" t="n"/>
      <c r="F75" s="39" t="n"/>
      <c r="G75" s="39" t="n"/>
      <c r="H75" s="40">
        <f>IF(OR(F75="",F75=0),"",G75/F75)</f>
        <v/>
      </c>
      <c r="I75" s="39" t="n"/>
      <c r="J75" s="39" t="n"/>
      <c r="K75" s="39" t="n"/>
      <c r="L75" s="39" t="n"/>
      <c r="M75" s="39" t="n"/>
      <c r="N75" s="39" t="n"/>
      <c r="O75" s="39" t="n"/>
      <c r="P75" s="39" t="n"/>
    </row>
    <row r="76" ht="18" customHeight="1">
      <c r="A76" s="39" t="n"/>
      <c r="B76" s="39" t="n"/>
      <c r="C76" s="39" t="n"/>
      <c r="D76" s="39" t="n"/>
      <c r="E76" s="39" t="n"/>
      <c r="F76" s="39" t="n"/>
      <c r="G76" s="39" t="n"/>
      <c r="H76" s="40">
        <f>IF(OR(F76="",F76=0),"",G76/F76)</f>
        <v/>
      </c>
      <c r="I76" s="39" t="n"/>
      <c r="J76" s="39" t="n"/>
      <c r="K76" s="39" t="n"/>
      <c r="L76" s="39" t="n"/>
      <c r="M76" s="39" t="n"/>
      <c r="N76" s="39" t="n"/>
      <c r="O76" s="39" t="n"/>
      <c r="P76" s="39" t="n"/>
    </row>
    <row r="77" ht="18" customHeight="1">
      <c r="A77" s="39" t="n"/>
      <c r="B77" s="39" t="n"/>
      <c r="C77" s="39" t="n"/>
      <c r="D77" s="39" t="n"/>
      <c r="E77" s="39" t="n"/>
      <c r="F77" s="39" t="n"/>
      <c r="G77" s="39" t="n"/>
      <c r="H77" s="40">
        <f>IF(OR(F77="",F77=0),"",G77/F77)</f>
        <v/>
      </c>
      <c r="I77" s="39" t="n"/>
      <c r="J77" s="39" t="n"/>
      <c r="K77" s="39" t="n"/>
      <c r="L77" s="39" t="n"/>
      <c r="M77" s="39" t="n"/>
      <c r="N77" s="39" t="n"/>
      <c r="O77" s="39" t="n"/>
      <c r="P77" s="39" t="n"/>
    </row>
    <row r="78" ht="18" customHeight="1">
      <c r="A78" s="39" t="n"/>
      <c r="B78" s="39" t="n"/>
      <c r="C78" s="39" t="n"/>
      <c r="D78" s="39" t="n"/>
      <c r="E78" s="39" t="n"/>
      <c r="F78" s="39" t="n"/>
      <c r="G78" s="39" t="n"/>
      <c r="H78" s="40">
        <f>IF(OR(F78="",F78=0),"",G78/F78)</f>
        <v/>
      </c>
      <c r="I78" s="39" t="n"/>
      <c r="J78" s="39" t="n"/>
      <c r="K78" s="39" t="n"/>
      <c r="L78" s="39" t="n"/>
      <c r="M78" s="39" t="n"/>
      <c r="N78" s="39" t="n"/>
      <c r="O78" s="39" t="n"/>
      <c r="P78" s="39" t="n"/>
    </row>
    <row r="79" ht="18" customHeight="1">
      <c r="A79" s="39" t="n"/>
      <c r="B79" s="39" t="n"/>
      <c r="C79" s="39" t="n"/>
      <c r="D79" s="39" t="n"/>
      <c r="E79" s="39" t="n"/>
      <c r="F79" s="39" t="n"/>
      <c r="G79" s="39" t="n"/>
      <c r="H79" s="40">
        <f>IF(OR(F79="",F79=0),"",G79/F79)</f>
        <v/>
      </c>
      <c r="I79" s="39" t="n"/>
      <c r="J79" s="39" t="n"/>
      <c r="K79" s="39" t="n"/>
      <c r="L79" s="39" t="n"/>
      <c r="M79" s="39" t="n"/>
      <c r="N79" s="39" t="n"/>
      <c r="O79" s="39" t="n"/>
      <c r="P79" s="39" t="n"/>
    </row>
    <row r="80" ht="18" customHeight="1">
      <c r="A80" s="39" t="n"/>
      <c r="B80" s="39" t="n"/>
      <c r="C80" s="39" t="n"/>
      <c r="D80" s="39" t="n"/>
      <c r="E80" s="39" t="n"/>
      <c r="F80" s="39" t="n"/>
      <c r="G80" s="39" t="n"/>
      <c r="H80" s="40">
        <f>IF(OR(F80="",F80=0),"",G80/F80)</f>
        <v/>
      </c>
      <c r="I80" s="39" t="n"/>
      <c r="J80" s="39" t="n"/>
      <c r="K80" s="39" t="n"/>
      <c r="L80" s="39" t="n"/>
      <c r="M80" s="39" t="n"/>
      <c r="N80" s="39" t="n"/>
      <c r="O80" s="39" t="n"/>
      <c r="P80" s="39" t="n"/>
    </row>
    <row r="81" ht="18" customHeight="1">
      <c r="A81" s="39" t="n"/>
      <c r="B81" s="39" t="n"/>
      <c r="C81" s="39" t="n"/>
      <c r="D81" s="39" t="n"/>
      <c r="E81" s="39" t="n"/>
      <c r="F81" s="39" t="n"/>
      <c r="G81" s="39" t="n"/>
      <c r="H81" s="40">
        <f>IF(OR(F81="",F81=0),"",G81/F81)</f>
        <v/>
      </c>
      <c r="I81" s="39" t="n"/>
      <c r="J81" s="39" t="n"/>
      <c r="K81" s="39" t="n"/>
      <c r="L81" s="39" t="n"/>
      <c r="M81" s="39" t="n"/>
      <c r="N81" s="39" t="n"/>
      <c r="O81" s="39" t="n"/>
      <c r="P81" s="39" t="n"/>
    </row>
    <row r="82" ht="18" customHeight="1">
      <c r="A82" s="39" t="n"/>
      <c r="B82" s="39" t="n"/>
      <c r="C82" s="39" t="n"/>
      <c r="D82" s="39" t="n"/>
      <c r="E82" s="39" t="n"/>
      <c r="F82" s="39" t="n"/>
      <c r="G82" s="39" t="n"/>
      <c r="H82" s="40">
        <f>IF(OR(F82="",F82=0),"",G82/F82)</f>
        <v/>
      </c>
      <c r="I82" s="39" t="n"/>
      <c r="J82" s="39" t="n"/>
      <c r="K82" s="39" t="n"/>
      <c r="L82" s="39" t="n"/>
      <c r="M82" s="39" t="n"/>
      <c r="N82" s="39" t="n"/>
      <c r="O82" s="39" t="n"/>
      <c r="P82" s="39" t="n"/>
    </row>
    <row r="83" ht="18" customHeight="1">
      <c r="A83" s="39" t="n"/>
      <c r="B83" s="39" t="n"/>
      <c r="C83" s="39" t="n"/>
      <c r="D83" s="39" t="n"/>
      <c r="E83" s="39" t="n"/>
      <c r="F83" s="39" t="n"/>
      <c r="G83" s="39" t="n"/>
      <c r="H83" s="40">
        <f>IF(OR(F83="",F83=0),"",G83/F83)</f>
        <v/>
      </c>
      <c r="I83" s="39" t="n"/>
      <c r="J83" s="39" t="n"/>
      <c r="K83" s="39" t="n"/>
      <c r="L83" s="39" t="n"/>
      <c r="M83" s="39" t="n"/>
      <c r="N83" s="39" t="n"/>
      <c r="O83" s="39" t="n"/>
      <c r="P83" s="39" t="n"/>
    </row>
    <row r="84" ht="18" customHeight="1">
      <c r="A84" s="39" t="n"/>
      <c r="B84" s="39" t="n"/>
      <c r="C84" s="39" t="n"/>
      <c r="D84" s="39" t="n"/>
      <c r="E84" s="39" t="n"/>
      <c r="F84" s="39" t="n"/>
      <c r="G84" s="39" t="n"/>
      <c r="H84" s="40">
        <f>IF(OR(F84="",F84=0),"",G84/F84)</f>
        <v/>
      </c>
      <c r="I84" s="39" t="n"/>
      <c r="J84" s="39" t="n"/>
      <c r="K84" s="39" t="n"/>
      <c r="L84" s="39" t="n"/>
      <c r="M84" s="39" t="n"/>
      <c r="N84" s="39" t="n"/>
      <c r="O84" s="39" t="n"/>
      <c r="P84" s="39" t="n"/>
    </row>
    <row r="85" ht="18" customHeight="1">
      <c r="A85" s="39" t="n"/>
      <c r="B85" s="39" t="n"/>
      <c r="C85" s="39" t="n"/>
      <c r="D85" s="39" t="n"/>
      <c r="E85" s="39" t="n"/>
      <c r="F85" s="39" t="n"/>
      <c r="G85" s="39" t="n"/>
      <c r="H85" s="40">
        <f>IF(OR(F85="",F85=0),"",G85/F85)</f>
        <v/>
      </c>
      <c r="I85" s="39" t="n"/>
      <c r="J85" s="39" t="n"/>
      <c r="K85" s="39" t="n"/>
      <c r="L85" s="39" t="n"/>
      <c r="M85" s="39" t="n"/>
      <c r="N85" s="39" t="n"/>
      <c r="O85" s="39" t="n"/>
      <c r="P85" s="39" t="n"/>
    </row>
    <row r="86" ht="18" customHeight="1">
      <c r="A86" s="39" t="n"/>
      <c r="B86" s="39" t="n"/>
      <c r="C86" s="39" t="n"/>
      <c r="D86" s="39" t="n"/>
      <c r="E86" s="39" t="n"/>
      <c r="F86" s="39" t="n"/>
      <c r="G86" s="39" t="n"/>
      <c r="H86" s="40">
        <f>IF(OR(F86="",F86=0),"",G86/F86)</f>
        <v/>
      </c>
      <c r="I86" s="39" t="n"/>
      <c r="J86" s="39" t="n"/>
      <c r="K86" s="39" t="n"/>
      <c r="L86" s="39" t="n"/>
      <c r="M86" s="39" t="n"/>
      <c r="N86" s="39" t="n"/>
      <c r="O86" s="39" t="n"/>
      <c r="P86" s="39" t="n"/>
    </row>
    <row r="87" ht="18" customHeight="1">
      <c r="A87" s="39" t="n"/>
      <c r="B87" s="39" t="n"/>
      <c r="C87" s="39" t="n"/>
      <c r="D87" s="39" t="n"/>
      <c r="E87" s="39" t="n"/>
      <c r="F87" s="39" t="n"/>
      <c r="G87" s="39" t="n"/>
      <c r="H87" s="40">
        <f>IF(OR(F87="",F87=0),"",G87/F87)</f>
        <v/>
      </c>
      <c r="I87" s="39" t="n"/>
      <c r="J87" s="39" t="n"/>
      <c r="K87" s="39" t="n"/>
      <c r="L87" s="39" t="n"/>
      <c r="M87" s="39" t="n"/>
      <c r="N87" s="39" t="n"/>
      <c r="O87" s="39" t="n"/>
      <c r="P87" s="39" t="n"/>
    </row>
    <row r="88" ht="18" customHeight="1">
      <c r="A88" s="39" t="n"/>
      <c r="B88" s="39" t="n"/>
      <c r="C88" s="39" t="n"/>
      <c r="D88" s="39" t="n"/>
      <c r="E88" s="39" t="n"/>
      <c r="F88" s="39" t="n"/>
      <c r="G88" s="39" t="n"/>
      <c r="H88" s="40">
        <f>IF(OR(F88="",F88=0),"",G88/F88)</f>
        <v/>
      </c>
      <c r="I88" s="39" t="n"/>
      <c r="J88" s="39" t="n"/>
      <c r="K88" s="39" t="n"/>
      <c r="L88" s="39" t="n"/>
      <c r="M88" s="39" t="n"/>
      <c r="N88" s="39" t="n"/>
      <c r="O88" s="39" t="n"/>
      <c r="P88" s="39" t="n"/>
    </row>
    <row r="89" ht="18" customHeight="1">
      <c r="A89" s="39" t="n"/>
      <c r="B89" s="39" t="n"/>
      <c r="C89" s="39" t="n"/>
      <c r="D89" s="39" t="n"/>
      <c r="E89" s="39" t="n"/>
      <c r="F89" s="39" t="n"/>
      <c r="G89" s="39" t="n"/>
      <c r="H89" s="40">
        <f>IF(OR(F89="",F89=0),"",G89/F89)</f>
        <v/>
      </c>
      <c r="I89" s="39" t="n"/>
      <c r="J89" s="39" t="n"/>
      <c r="K89" s="39" t="n"/>
      <c r="L89" s="39" t="n"/>
      <c r="M89" s="39" t="n"/>
      <c r="N89" s="39" t="n"/>
      <c r="O89" s="39" t="n"/>
      <c r="P89" s="39" t="n"/>
    </row>
    <row r="90" ht="18" customHeight="1">
      <c r="A90" s="39" t="n"/>
      <c r="B90" s="39" t="n"/>
      <c r="C90" s="39" t="n"/>
      <c r="D90" s="39" t="n"/>
      <c r="E90" s="39" t="n"/>
      <c r="F90" s="39" t="n"/>
      <c r="G90" s="39" t="n"/>
      <c r="H90" s="40">
        <f>IF(OR(F90="",F90=0),"",G90/F90)</f>
        <v/>
      </c>
      <c r="I90" s="39" t="n"/>
      <c r="J90" s="39" t="n"/>
      <c r="K90" s="39" t="n"/>
      <c r="L90" s="39" t="n"/>
      <c r="M90" s="39" t="n"/>
      <c r="N90" s="39" t="n"/>
      <c r="O90" s="39" t="n"/>
      <c r="P90" s="39" t="n"/>
    </row>
    <row r="91" ht="18" customHeight="1">
      <c r="A91" s="39" t="n"/>
      <c r="B91" s="39" t="n"/>
      <c r="C91" s="39" t="n"/>
      <c r="D91" s="39" t="n"/>
      <c r="E91" s="39" t="n"/>
      <c r="F91" s="39" t="n"/>
      <c r="G91" s="39" t="n"/>
      <c r="H91" s="40">
        <f>IF(OR(F91="",F91=0),"",G91/F91)</f>
        <v/>
      </c>
      <c r="I91" s="39" t="n"/>
      <c r="J91" s="39" t="n"/>
      <c r="K91" s="39" t="n"/>
      <c r="L91" s="39" t="n"/>
      <c r="M91" s="39" t="n"/>
      <c r="N91" s="39" t="n"/>
      <c r="O91" s="39" t="n"/>
      <c r="P91" s="39" t="n"/>
    </row>
    <row r="92" ht="18" customHeight="1">
      <c r="A92" s="39" t="n"/>
      <c r="B92" s="39" t="n"/>
      <c r="C92" s="39" t="n"/>
      <c r="D92" s="39" t="n"/>
      <c r="E92" s="39" t="n"/>
      <c r="F92" s="39" t="n"/>
      <c r="G92" s="39" t="n"/>
      <c r="H92" s="40">
        <f>IF(OR(F92="",F92=0),"",G92/F92)</f>
        <v/>
      </c>
      <c r="I92" s="39" t="n"/>
      <c r="J92" s="39" t="n"/>
      <c r="K92" s="39" t="n"/>
      <c r="L92" s="39" t="n"/>
      <c r="M92" s="39" t="n"/>
      <c r="N92" s="39" t="n"/>
      <c r="O92" s="39" t="n"/>
      <c r="P92" s="39" t="n"/>
    </row>
    <row r="93" ht="18" customHeight="1">
      <c r="A93" s="39" t="n"/>
      <c r="B93" s="39" t="n"/>
      <c r="C93" s="39" t="n"/>
      <c r="D93" s="39" t="n"/>
      <c r="E93" s="39" t="n"/>
      <c r="F93" s="39" t="n"/>
      <c r="G93" s="39" t="n"/>
      <c r="H93" s="40">
        <f>IF(OR(F93="",F93=0),"",G93/F93)</f>
        <v/>
      </c>
      <c r="I93" s="39" t="n"/>
      <c r="J93" s="39" t="n"/>
      <c r="K93" s="39" t="n"/>
      <c r="L93" s="39" t="n"/>
      <c r="M93" s="39" t="n"/>
      <c r="N93" s="39" t="n"/>
      <c r="O93" s="39" t="n"/>
      <c r="P93" s="39" t="n"/>
    </row>
    <row r="94" ht="18" customHeight="1">
      <c r="A94" s="39" t="n"/>
      <c r="B94" s="39" t="n"/>
      <c r="C94" s="39" t="n"/>
      <c r="D94" s="39" t="n"/>
      <c r="E94" s="39" t="n"/>
      <c r="F94" s="39" t="n"/>
      <c r="G94" s="39" t="n"/>
      <c r="H94" s="40">
        <f>IF(OR(F94="",F94=0),"",G94/F94)</f>
        <v/>
      </c>
      <c r="I94" s="39" t="n"/>
      <c r="J94" s="39" t="n"/>
      <c r="K94" s="39" t="n"/>
      <c r="L94" s="39" t="n"/>
      <c r="M94" s="39" t="n"/>
      <c r="N94" s="39" t="n"/>
      <c r="O94" s="39" t="n"/>
      <c r="P94" s="39" t="n"/>
    </row>
    <row r="95" ht="18" customHeight="1">
      <c r="A95" s="39" t="n"/>
      <c r="B95" s="39" t="n"/>
      <c r="C95" s="39" t="n"/>
      <c r="D95" s="39" t="n"/>
      <c r="E95" s="39" t="n"/>
      <c r="F95" s="39" t="n"/>
      <c r="G95" s="39" t="n"/>
      <c r="H95" s="40">
        <f>IF(OR(F95="",F95=0),"",G95/F95)</f>
        <v/>
      </c>
      <c r="I95" s="39" t="n"/>
      <c r="J95" s="39" t="n"/>
      <c r="K95" s="39" t="n"/>
      <c r="L95" s="39" t="n"/>
      <c r="M95" s="39" t="n"/>
      <c r="N95" s="39" t="n"/>
      <c r="O95" s="39" t="n"/>
      <c r="P95" s="39" t="n"/>
    </row>
    <row r="96" ht="18" customHeight="1">
      <c r="A96" s="39" t="n"/>
      <c r="B96" s="39" t="n"/>
      <c r="C96" s="39" t="n"/>
      <c r="D96" s="39" t="n"/>
      <c r="E96" s="39" t="n"/>
      <c r="F96" s="39" t="n"/>
      <c r="G96" s="39" t="n"/>
      <c r="H96" s="40">
        <f>IF(OR(F96="",F96=0),"",G96/F96)</f>
        <v/>
      </c>
      <c r="I96" s="39" t="n"/>
      <c r="J96" s="39" t="n"/>
      <c r="K96" s="39" t="n"/>
      <c r="L96" s="39" t="n"/>
      <c r="M96" s="39" t="n"/>
      <c r="N96" s="39" t="n"/>
      <c r="O96" s="39" t="n"/>
      <c r="P96" s="39" t="n"/>
    </row>
    <row r="97" ht="18" customHeight="1">
      <c r="A97" s="39" t="n"/>
      <c r="B97" s="39" t="n"/>
      <c r="C97" s="39" t="n"/>
      <c r="D97" s="39" t="n"/>
      <c r="E97" s="39" t="n"/>
      <c r="F97" s="39" t="n"/>
      <c r="G97" s="39" t="n"/>
      <c r="H97" s="40">
        <f>IF(OR(F97="",F97=0),"",G97/F97)</f>
        <v/>
      </c>
      <c r="I97" s="39" t="n"/>
      <c r="J97" s="39" t="n"/>
      <c r="K97" s="39" t="n"/>
      <c r="L97" s="39" t="n"/>
      <c r="M97" s="39" t="n"/>
      <c r="N97" s="39" t="n"/>
      <c r="O97" s="39" t="n"/>
      <c r="P97" s="39" t="n"/>
    </row>
    <row r="98" ht="18" customHeight="1">
      <c r="A98" s="39" t="n"/>
      <c r="B98" s="39" t="n"/>
      <c r="C98" s="39" t="n"/>
      <c r="D98" s="39" t="n"/>
      <c r="E98" s="39" t="n"/>
      <c r="F98" s="39" t="n"/>
      <c r="G98" s="39" t="n"/>
      <c r="H98" s="40">
        <f>IF(OR(F98="",F98=0),"",G98/F98)</f>
        <v/>
      </c>
      <c r="I98" s="39" t="n"/>
      <c r="J98" s="39" t="n"/>
      <c r="K98" s="39" t="n"/>
      <c r="L98" s="39" t="n"/>
      <c r="M98" s="39" t="n"/>
      <c r="N98" s="39" t="n"/>
      <c r="O98" s="39" t="n"/>
      <c r="P98" s="39" t="n"/>
    </row>
    <row r="99" ht="18" customHeight="1">
      <c r="A99" s="39" t="n"/>
      <c r="B99" s="39" t="n"/>
      <c r="C99" s="39" t="n"/>
      <c r="D99" s="39" t="n"/>
      <c r="E99" s="39" t="n"/>
      <c r="F99" s="39" t="n"/>
      <c r="G99" s="39" t="n"/>
      <c r="H99" s="40">
        <f>IF(OR(F99="",F99=0),"",G99/F99)</f>
        <v/>
      </c>
      <c r="I99" s="39" t="n"/>
      <c r="J99" s="39" t="n"/>
      <c r="K99" s="39" t="n"/>
      <c r="L99" s="39" t="n"/>
      <c r="M99" s="39" t="n"/>
      <c r="N99" s="39" t="n"/>
      <c r="O99" s="39" t="n"/>
      <c r="P99" s="39" t="n"/>
    </row>
    <row r="100" ht="18" customHeight="1">
      <c r="A100" s="39" t="n"/>
      <c r="B100" s="39" t="n"/>
      <c r="C100" s="39" t="n"/>
      <c r="D100" s="39" t="n"/>
      <c r="E100" s="39" t="n"/>
      <c r="F100" s="39" t="n"/>
      <c r="G100" s="39" t="n"/>
      <c r="H100" s="40">
        <f>IF(OR(F100="",F100=0),"",G100/F100)</f>
        <v/>
      </c>
      <c r="I100" s="39" t="n"/>
      <c r="J100" s="39" t="n"/>
      <c r="K100" s="39" t="n"/>
      <c r="L100" s="39" t="n"/>
      <c r="M100" s="39" t="n"/>
      <c r="N100" s="39" t="n"/>
      <c r="O100" s="39" t="n"/>
      <c r="P100" s="39" t="n"/>
    </row>
    <row r="101" ht="18" customHeight="1">
      <c r="A101" s="39" t="n"/>
      <c r="B101" s="39" t="n"/>
      <c r="C101" s="39" t="n"/>
      <c r="D101" s="39" t="n"/>
      <c r="E101" s="39" t="n"/>
      <c r="F101" s="39" t="n"/>
      <c r="G101" s="39" t="n"/>
      <c r="H101" s="40">
        <f>IF(OR(F101="",F101=0),"",G101/F101)</f>
        <v/>
      </c>
      <c r="I101" s="39" t="n"/>
      <c r="J101" s="39" t="n"/>
      <c r="K101" s="39" t="n"/>
      <c r="L101" s="39" t="n"/>
      <c r="M101" s="39" t="n"/>
      <c r="N101" s="39" t="n"/>
      <c r="O101" s="39" t="n"/>
      <c r="P101" s="39" t="n"/>
    </row>
    <row r="102" ht="18" customHeight="1">
      <c r="A102" s="39" t="n"/>
      <c r="B102" s="39" t="n"/>
      <c r="C102" s="39" t="n"/>
      <c r="D102" s="39" t="n"/>
      <c r="E102" s="39" t="n"/>
      <c r="F102" s="39" t="n"/>
      <c r="G102" s="39" t="n"/>
      <c r="H102" s="40">
        <f>IF(OR(F102="",F102=0),"",G102/F102)</f>
        <v/>
      </c>
      <c r="I102" s="39" t="n"/>
      <c r="J102" s="39" t="n"/>
      <c r="K102" s="39" t="n"/>
      <c r="L102" s="39" t="n"/>
      <c r="M102" s="39" t="n"/>
      <c r="N102" s="39" t="n"/>
      <c r="O102" s="39" t="n"/>
      <c r="P102" s="39" t="n"/>
    </row>
    <row r="103" ht="18" customHeight="1">
      <c r="A103" s="39" t="n"/>
      <c r="B103" s="39" t="n"/>
      <c r="C103" s="39" t="n"/>
      <c r="D103" s="39" t="n"/>
      <c r="E103" s="39" t="n"/>
      <c r="F103" s="39" t="n"/>
      <c r="G103" s="39" t="n"/>
      <c r="H103" s="40">
        <f>IF(OR(F103="",F103=0),"",G103/F103)</f>
        <v/>
      </c>
      <c r="I103" s="39" t="n"/>
      <c r="J103" s="39" t="n"/>
      <c r="K103" s="39" t="n"/>
      <c r="L103" s="39" t="n"/>
      <c r="M103" s="39" t="n"/>
      <c r="N103" s="39" t="n"/>
      <c r="O103" s="39" t="n"/>
      <c r="P103" s="39" t="n"/>
    </row>
    <row r="104" ht="18" customHeight="1">
      <c r="A104" s="39" t="n"/>
      <c r="B104" s="39" t="n"/>
      <c r="C104" s="39" t="n"/>
      <c r="D104" s="39" t="n"/>
      <c r="E104" s="39" t="n"/>
      <c r="F104" s="39" t="n"/>
      <c r="G104" s="39" t="n"/>
      <c r="H104" s="40">
        <f>IF(OR(F104="",F104=0),"",G104/F104)</f>
        <v/>
      </c>
      <c r="I104" s="39" t="n"/>
      <c r="J104" s="39" t="n"/>
      <c r="K104" s="39" t="n"/>
      <c r="L104" s="39" t="n"/>
      <c r="M104" s="39" t="n"/>
      <c r="N104" s="39" t="n"/>
      <c r="O104" s="39" t="n"/>
      <c r="P104" s="39" t="n"/>
    </row>
    <row r="105" ht="18" customHeight="1">
      <c r="A105" s="39" t="n"/>
      <c r="B105" s="39" t="n"/>
      <c r="C105" s="39" t="n"/>
      <c r="D105" s="39" t="n"/>
      <c r="E105" s="39" t="n"/>
      <c r="F105" s="39" t="n"/>
      <c r="G105" s="39" t="n"/>
      <c r="H105" s="40">
        <f>IF(OR(F105="",F105=0),"",G105/F105)</f>
        <v/>
      </c>
      <c r="I105" s="39" t="n"/>
      <c r="J105" s="39" t="n"/>
      <c r="K105" s="39" t="n"/>
      <c r="L105" s="39" t="n"/>
      <c r="M105" s="39" t="n"/>
      <c r="N105" s="39" t="n"/>
      <c r="O105" s="39" t="n"/>
      <c r="P105" s="39" t="n"/>
    </row>
    <row r="106" ht="18" customHeight="1">
      <c r="A106" s="39" t="n"/>
      <c r="B106" s="39" t="n"/>
      <c r="C106" s="39" t="n"/>
      <c r="D106" s="39" t="n"/>
      <c r="E106" s="39" t="n"/>
      <c r="F106" s="39" t="n"/>
      <c r="G106" s="39" t="n"/>
      <c r="H106" s="40">
        <f>IF(OR(F106="",F106=0),"",G106/F106)</f>
        <v/>
      </c>
      <c r="I106" s="39" t="n"/>
      <c r="J106" s="39" t="n"/>
      <c r="K106" s="39" t="n"/>
      <c r="L106" s="39" t="n"/>
      <c r="M106" s="39" t="n"/>
      <c r="N106" s="39" t="n"/>
      <c r="O106" s="39" t="n"/>
      <c r="P106" s="39" t="n"/>
    </row>
    <row r="107" ht="18" customHeight="1">
      <c r="A107" s="39" t="n"/>
      <c r="B107" s="39" t="n"/>
      <c r="C107" s="39" t="n"/>
      <c r="D107" s="39" t="n"/>
      <c r="E107" s="39" t="n"/>
      <c r="F107" s="39" t="n"/>
      <c r="G107" s="39" t="n"/>
      <c r="H107" s="40">
        <f>IF(OR(F107="",F107=0),"",G107/F107)</f>
        <v/>
      </c>
      <c r="I107" s="39" t="n"/>
      <c r="J107" s="39" t="n"/>
      <c r="K107" s="39" t="n"/>
      <c r="L107" s="39" t="n"/>
      <c r="M107" s="39" t="n"/>
      <c r="N107" s="39" t="n"/>
      <c r="O107" s="39" t="n"/>
      <c r="P107" s="39" t="n"/>
    </row>
    <row r="108" ht="18" customHeight="1">
      <c r="A108" s="39" t="n"/>
      <c r="B108" s="39" t="n"/>
      <c r="C108" s="39" t="n"/>
      <c r="D108" s="39" t="n"/>
      <c r="E108" s="39" t="n"/>
      <c r="F108" s="39" t="n"/>
      <c r="G108" s="39" t="n"/>
      <c r="H108" s="40">
        <f>IF(OR(F108="",F108=0),"",G108/F108)</f>
        <v/>
      </c>
      <c r="I108" s="39" t="n"/>
      <c r="J108" s="39" t="n"/>
      <c r="K108" s="39" t="n"/>
      <c r="L108" s="39" t="n"/>
      <c r="M108" s="39" t="n"/>
      <c r="N108" s="39" t="n"/>
      <c r="O108" s="39" t="n"/>
      <c r="P108" s="39" t="n"/>
    </row>
    <row r="109" ht="18" customHeight="1">
      <c r="A109" s="39" t="n"/>
      <c r="B109" s="39" t="n"/>
      <c r="C109" s="39" t="n"/>
      <c r="D109" s="39" t="n"/>
      <c r="E109" s="39" t="n"/>
      <c r="F109" s="39" t="n"/>
      <c r="G109" s="39" t="n"/>
      <c r="H109" s="40">
        <f>IF(OR(F109="",F109=0),"",G109/F109)</f>
        <v/>
      </c>
      <c r="I109" s="39" t="n"/>
      <c r="J109" s="39" t="n"/>
      <c r="K109" s="39" t="n"/>
      <c r="L109" s="39" t="n"/>
      <c r="M109" s="39" t="n"/>
      <c r="N109" s="39" t="n"/>
      <c r="O109" s="39" t="n"/>
      <c r="P109" s="39" t="n"/>
    </row>
    <row r="110" ht="18" customHeight="1">
      <c r="A110" s="39" t="n"/>
      <c r="B110" s="39" t="n"/>
      <c r="C110" s="39" t="n"/>
      <c r="D110" s="39" t="n"/>
      <c r="E110" s="39" t="n"/>
      <c r="F110" s="39" t="n"/>
      <c r="G110" s="39" t="n"/>
      <c r="H110" s="40">
        <f>IF(OR(F110="",F110=0),"",G110/F110)</f>
        <v/>
      </c>
      <c r="I110" s="39" t="n"/>
      <c r="J110" s="39" t="n"/>
      <c r="K110" s="39" t="n"/>
      <c r="L110" s="39" t="n"/>
      <c r="M110" s="39" t="n"/>
      <c r="N110" s="39" t="n"/>
      <c r="O110" s="39" t="n"/>
      <c r="P110" s="39" t="n"/>
    </row>
    <row r="111" ht="18" customHeight="1">
      <c r="A111" s="39" t="n"/>
      <c r="B111" s="39" t="n"/>
      <c r="C111" s="39" t="n"/>
      <c r="D111" s="39" t="n"/>
      <c r="E111" s="39" t="n"/>
      <c r="F111" s="39" t="n"/>
      <c r="G111" s="39" t="n"/>
      <c r="H111" s="40">
        <f>IF(OR(F111="",F111=0),"",G111/F111)</f>
        <v/>
      </c>
      <c r="I111" s="39" t="n"/>
      <c r="J111" s="39" t="n"/>
      <c r="K111" s="39" t="n"/>
      <c r="L111" s="39" t="n"/>
      <c r="M111" s="39" t="n"/>
      <c r="N111" s="39" t="n"/>
      <c r="O111" s="39" t="n"/>
      <c r="P111" s="39" t="n"/>
    </row>
    <row r="112" ht="18" customHeight="1">
      <c r="A112" s="39" t="n"/>
      <c r="B112" s="39" t="n"/>
      <c r="C112" s="39" t="n"/>
      <c r="D112" s="39" t="n"/>
      <c r="E112" s="39" t="n"/>
      <c r="F112" s="39" t="n"/>
      <c r="G112" s="39" t="n"/>
      <c r="H112" s="40">
        <f>IF(OR(F112="",F112=0),"",G112/F112)</f>
        <v/>
      </c>
      <c r="I112" s="39" t="n"/>
      <c r="J112" s="39" t="n"/>
      <c r="K112" s="39" t="n"/>
      <c r="L112" s="39" t="n"/>
      <c r="M112" s="39" t="n"/>
      <c r="N112" s="39" t="n"/>
      <c r="O112" s="39" t="n"/>
      <c r="P112" s="39" t="n"/>
    </row>
    <row r="113" ht="18" customHeight="1">
      <c r="A113" s="39" t="n"/>
      <c r="B113" s="39" t="n"/>
      <c r="C113" s="39" t="n"/>
      <c r="D113" s="39" t="n"/>
      <c r="E113" s="39" t="n"/>
      <c r="F113" s="39" t="n"/>
      <c r="G113" s="39" t="n"/>
      <c r="H113" s="40">
        <f>IF(OR(F113="",F113=0),"",G113/F113)</f>
        <v/>
      </c>
      <c r="I113" s="39" t="n"/>
      <c r="J113" s="39" t="n"/>
      <c r="K113" s="39" t="n"/>
      <c r="L113" s="39" t="n"/>
      <c r="M113" s="39" t="n"/>
      <c r="N113" s="39" t="n"/>
      <c r="O113" s="39" t="n"/>
      <c r="P113" s="39" t="n"/>
    </row>
    <row r="114" ht="18" customHeight="1">
      <c r="A114" s="39" t="n"/>
      <c r="B114" s="39" t="n"/>
      <c r="C114" s="39" t="n"/>
      <c r="D114" s="39" t="n"/>
      <c r="E114" s="39" t="n"/>
      <c r="F114" s="39" t="n"/>
      <c r="G114" s="39" t="n"/>
      <c r="H114" s="40">
        <f>IF(OR(F114="",F114=0),"",G114/F114)</f>
        <v/>
      </c>
      <c r="I114" s="39" t="n"/>
      <c r="J114" s="39" t="n"/>
      <c r="K114" s="39" t="n"/>
      <c r="L114" s="39" t="n"/>
      <c r="M114" s="39" t="n"/>
      <c r="N114" s="39" t="n"/>
      <c r="O114" s="39" t="n"/>
      <c r="P114" s="39" t="n"/>
    </row>
    <row r="115" ht="18" customHeight="1">
      <c r="A115" s="39" t="n"/>
      <c r="B115" s="39" t="n"/>
      <c r="C115" s="39" t="n"/>
      <c r="D115" s="39" t="n"/>
      <c r="E115" s="39" t="n"/>
      <c r="F115" s="39" t="n"/>
      <c r="G115" s="39" t="n"/>
      <c r="H115" s="40">
        <f>IF(OR(F115="",F115=0),"",G115/F115)</f>
        <v/>
      </c>
      <c r="I115" s="39" t="n"/>
      <c r="J115" s="39" t="n"/>
      <c r="K115" s="39" t="n"/>
      <c r="L115" s="39" t="n"/>
      <c r="M115" s="39" t="n"/>
      <c r="N115" s="39" t="n"/>
      <c r="O115" s="39" t="n"/>
      <c r="P115" s="39" t="n"/>
    </row>
    <row r="116" ht="18" customHeight="1">
      <c r="A116" s="39" t="n"/>
      <c r="B116" s="39" t="n"/>
      <c r="C116" s="39" t="n"/>
      <c r="D116" s="39" t="n"/>
      <c r="E116" s="39" t="n"/>
      <c r="F116" s="39" t="n"/>
      <c r="G116" s="39" t="n"/>
      <c r="H116" s="40">
        <f>IF(OR(F116="",F116=0),"",G116/F116)</f>
        <v/>
      </c>
      <c r="I116" s="39" t="n"/>
      <c r="J116" s="39" t="n"/>
      <c r="K116" s="39" t="n"/>
      <c r="L116" s="39" t="n"/>
      <c r="M116" s="39" t="n"/>
      <c r="N116" s="39" t="n"/>
      <c r="O116" s="39" t="n"/>
      <c r="P116" s="39" t="n"/>
    </row>
    <row r="117" ht="18" customHeight="1">
      <c r="A117" s="39" t="n"/>
      <c r="B117" s="39" t="n"/>
      <c r="C117" s="39" t="n"/>
      <c r="D117" s="39" t="n"/>
      <c r="E117" s="39" t="n"/>
      <c r="F117" s="39" t="n"/>
      <c r="G117" s="39" t="n"/>
      <c r="H117" s="40">
        <f>IF(OR(F117="",F117=0),"",G117/F117)</f>
        <v/>
      </c>
      <c r="I117" s="39" t="n"/>
      <c r="J117" s="39" t="n"/>
      <c r="K117" s="39" t="n"/>
      <c r="L117" s="39" t="n"/>
      <c r="M117" s="39" t="n"/>
      <c r="N117" s="39" t="n"/>
      <c r="O117" s="39" t="n"/>
      <c r="P117" s="39" t="n"/>
    </row>
    <row r="118" ht="18" customHeight="1">
      <c r="A118" s="39" t="n"/>
      <c r="B118" s="39" t="n"/>
      <c r="C118" s="39" t="n"/>
      <c r="D118" s="39" t="n"/>
      <c r="E118" s="39" t="n"/>
      <c r="F118" s="39" t="n"/>
      <c r="G118" s="39" t="n"/>
      <c r="H118" s="40">
        <f>IF(OR(F118="",F118=0),"",G118/F118)</f>
        <v/>
      </c>
      <c r="I118" s="39" t="n"/>
      <c r="J118" s="39" t="n"/>
      <c r="K118" s="39" t="n"/>
      <c r="L118" s="39" t="n"/>
      <c r="M118" s="39" t="n"/>
      <c r="N118" s="39" t="n"/>
      <c r="O118" s="39" t="n"/>
      <c r="P118" s="39" t="n"/>
    </row>
    <row r="119" ht="18" customHeight="1">
      <c r="A119" s="39" t="n"/>
      <c r="B119" s="39" t="n"/>
      <c r="C119" s="39" t="n"/>
      <c r="D119" s="39" t="n"/>
      <c r="E119" s="39" t="n"/>
      <c r="F119" s="39" t="n"/>
      <c r="G119" s="39" t="n"/>
      <c r="H119" s="40">
        <f>IF(OR(F119="",F119=0),"",G119/F119)</f>
        <v/>
      </c>
      <c r="I119" s="39" t="n"/>
      <c r="J119" s="39" t="n"/>
      <c r="K119" s="39" t="n"/>
      <c r="L119" s="39" t="n"/>
      <c r="M119" s="39" t="n"/>
      <c r="N119" s="39" t="n"/>
      <c r="O119" s="39" t="n"/>
      <c r="P119" s="39" t="n"/>
    </row>
    <row r="120" ht="18" customHeight="1">
      <c r="A120" s="39" t="n"/>
      <c r="B120" s="39" t="n"/>
      <c r="C120" s="39" t="n"/>
      <c r="D120" s="39" t="n"/>
      <c r="E120" s="39" t="n"/>
      <c r="F120" s="39" t="n"/>
      <c r="G120" s="39" t="n"/>
      <c r="H120" s="40">
        <f>IF(OR(F120="",F120=0),"",G120/F120)</f>
        <v/>
      </c>
      <c r="I120" s="39" t="n"/>
      <c r="J120" s="39" t="n"/>
      <c r="K120" s="39" t="n"/>
      <c r="L120" s="39" t="n"/>
      <c r="M120" s="39" t="n"/>
      <c r="N120" s="39" t="n"/>
      <c r="O120" s="39" t="n"/>
      <c r="P120" s="39" t="n"/>
    </row>
    <row r="121" ht="18" customHeight="1">
      <c r="A121" s="39" t="n"/>
      <c r="B121" s="39" t="n"/>
      <c r="C121" s="39" t="n"/>
      <c r="D121" s="39" t="n"/>
      <c r="E121" s="39" t="n"/>
      <c r="F121" s="39" t="n"/>
      <c r="G121" s="39" t="n"/>
      <c r="H121" s="40">
        <f>IF(OR(F121="",F121=0),"",G121/F121)</f>
        <v/>
      </c>
      <c r="I121" s="39" t="n"/>
      <c r="J121" s="39" t="n"/>
      <c r="K121" s="39" t="n"/>
      <c r="L121" s="39" t="n"/>
      <c r="M121" s="39" t="n"/>
      <c r="N121" s="39" t="n"/>
      <c r="O121" s="39" t="n"/>
      <c r="P121" s="39" t="n"/>
    </row>
    <row r="122" ht="18" customHeight="1">
      <c r="A122" s="39" t="n"/>
      <c r="B122" s="39" t="n"/>
      <c r="C122" s="39" t="n"/>
      <c r="D122" s="39" t="n"/>
      <c r="E122" s="39" t="n"/>
      <c r="F122" s="39" t="n"/>
      <c r="G122" s="39" t="n"/>
      <c r="H122" s="40">
        <f>IF(OR(F122="",F122=0),"",G122/F122)</f>
        <v/>
      </c>
      <c r="I122" s="39" t="n"/>
      <c r="J122" s="39" t="n"/>
      <c r="K122" s="39" t="n"/>
      <c r="L122" s="39" t="n"/>
      <c r="M122" s="39" t="n"/>
      <c r="N122" s="39" t="n"/>
      <c r="O122" s="39" t="n"/>
      <c r="P122" s="39" t="n"/>
    </row>
    <row r="123" ht="18" customHeight="1">
      <c r="A123" s="39" t="n"/>
      <c r="B123" s="39" t="n"/>
      <c r="C123" s="39" t="n"/>
      <c r="D123" s="39" t="n"/>
      <c r="E123" s="39" t="n"/>
      <c r="F123" s="39" t="n"/>
      <c r="G123" s="39" t="n"/>
      <c r="H123" s="40">
        <f>IF(OR(F123="",F123=0),"",G123/F123)</f>
        <v/>
      </c>
      <c r="I123" s="39" t="n"/>
      <c r="J123" s="39" t="n"/>
      <c r="K123" s="39" t="n"/>
      <c r="L123" s="39" t="n"/>
      <c r="M123" s="39" t="n"/>
      <c r="N123" s="39" t="n"/>
      <c r="O123" s="39" t="n"/>
      <c r="P123" s="39" t="n"/>
    </row>
    <row r="124" ht="18" customHeight="1">
      <c r="A124" s="39" t="n"/>
      <c r="B124" s="39" t="n"/>
      <c r="C124" s="39" t="n"/>
      <c r="D124" s="39" t="n"/>
      <c r="E124" s="39" t="n"/>
      <c r="F124" s="39" t="n"/>
      <c r="G124" s="39" t="n"/>
      <c r="H124" s="40">
        <f>IF(OR(F124="",F124=0),"",G124/F124)</f>
        <v/>
      </c>
      <c r="I124" s="39" t="n"/>
      <c r="J124" s="39" t="n"/>
      <c r="K124" s="39" t="n"/>
      <c r="L124" s="39" t="n"/>
      <c r="M124" s="39" t="n"/>
      <c r="N124" s="39" t="n"/>
      <c r="O124" s="39" t="n"/>
      <c r="P124" s="39" t="n"/>
    </row>
    <row r="125" ht="18" customHeight="1">
      <c r="A125" s="39" t="n"/>
      <c r="B125" s="39" t="n"/>
      <c r="C125" s="39" t="n"/>
      <c r="D125" s="39" t="n"/>
      <c r="E125" s="39" t="n"/>
      <c r="F125" s="39" t="n"/>
      <c r="G125" s="39" t="n"/>
      <c r="H125" s="40">
        <f>IF(OR(F125="",F125=0),"",G125/F125)</f>
        <v/>
      </c>
      <c r="I125" s="39" t="n"/>
      <c r="J125" s="39" t="n"/>
      <c r="K125" s="39" t="n"/>
      <c r="L125" s="39" t="n"/>
      <c r="M125" s="39" t="n"/>
      <c r="N125" s="39" t="n"/>
      <c r="O125" s="39" t="n"/>
      <c r="P125" s="39" t="n"/>
    </row>
    <row r="126" ht="18" customHeight="1">
      <c r="A126" s="39" t="n"/>
      <c r="B126" s="39" t="n"/>
      <c r="C126" s="39" t="n"/>
      <c r="D126" s="39" t="n"/>
      <c r="E126" s="39" t="n"/>
      <c r="F126" s="39" t="n"/>
      <c r="G126" s="39" t="n"/>
      <c r="H126" s="40">
        <f>IF(OR(F126="",F126=0),"",G126/F126)</f>
        <v/>
      </c>
      <c r="I126" s="39" t="n"/>
      <c r="J126" s="39" t="n"/>
      <c r="K126" s="39" t="n"/>
      <c r="L126" s="39" t="n"/>
      <c r="M126" s="39" t="n"/>
      <c r="N126" s="39" t="n"/>
      <c r="O126" s="39" t="n"/>
      <c r="P126" s="39" t="n"/>
    </row>
    <row r="127" ht="18" customHeight="1">
      <c r="A127" s="39" t="n"/>
      <c r="B127" s="39" t="n"/>
      <c r="C127" s="39" t="n"/>
      <c r="D127" s="39" t="n"/>
      <c r="E127" s="39" t="n"/>
      <c r="F127" s="39" t="n"/>
      <c r="G127" s="39" t="n"/>
      <c r="H127" s="40">
        <f>IF(OR(F127="",F127=0),"",G127/F127)</f>
        <v/>
      </c>
      <c r="I127" s="39" t="n"/>
      <c r="J127" s="39" t="n"/>
      <c r="K127" s="39" t="n"/>
      <c r="L127" s="39" t="n"/>
      <c r="M127" s="39" t="n"/>
      <c r="N127" s="39" t="n"/>
      <c r="O127" s="39" t="n"/>
      <c r="P127" s="39" t="n"/>
    </row>
    <row r="128" ht="18" customHeight="1">
      <c r="A128" s="39" t="n"/>
      <c r="B128" s="39" t="n"/>
      <c r="C128" s="39" t="n"/>
      <c r="D128" s="39" t="n"/>
      <c r="E128" s="39" t="n"/>
      <c r="F128" s="39" t="n"/>
      <c r="G128" s="39" t="n"/>
      <c r="H128" s="40">
        <f>IF(OR(F128="",F128=0),"",G128/F128)</f>
        <v/>
      </c>
      <c r="I128" s="39" t="n"/>
      <c r="J128" s="39" t="n"/>
      <c r="K128" s="39" t="n"/>
      <c r="L128" s="39" t="n"/>
      <c r="M128" s="39" t="n"/>
      <c r="N128" s="39" t="n"/>
      <c r="O128" s="39" t="n"/>
      <c r="P128" s="39" t="n"/>
    </row>
    <row r="129" ht="18" customHeight="1">
      <c r="A129" s="39" t="n"/>
      <c r="B129" s="39" t="n"/>
      <c r="C129" s="39" t="n"/>
      <c r="D129" s="39" t="n"/>
      <c r="E129" s="39" t="n"/>
      <c r="F129" s="39" t="n"/>
      <c r="G129" s="39" t="n"/>
      <c r="H129" s="40">
        <f>IF(OR(F129="",F129=0),"",G129/F129)</f>
        <v/>
      </c>
      <c r="I129" s="39" t="n"/>
      <c r="J129" s="39" t="n"/>
      <c r="K129" s="39" t="n"/>
      <c r="L129" s="39" t="n"/>
      <c r="M129" s="39" t="n"/>
      <c r="N129" s="39" t="n"/>
      <c r="O129" s="39" t="n"/>
      <c r="P129" s="39" t="n"/>
    </row>
    <row r="130" ht="18" customHeight="1">
      <c r="A130" s="39" t="n"/>
      <c r="B130" s="39" t="n"/>
      <c r="C130" s="39" t="n"/>
      <c r="D130" s="39" t="n"/>
      <c r="E130" s="39" t="n"/>
      <c r="F130" s="39" t="n"/>
      <c r="G130" s="39" t="n"/>
      <c r="H130" s="40">
        <f>IF(OR(F130="",F130=0),"",G130/F130)</f>
        <v/>
      </c>
      <c r="I130" s="39" t="n"/>
      <c r="J130" s="39" t="n"/>
      <c r="K130" s="39" t="n"/>
      <c r="L130" s="39" t="n"/>
      <c r="M130" s="39" t="n"/>
      <c r="N130" s="39" t="n"/>
      <c r="O130" s="39" t="n"/>
      <c r="P130" s="39" t="n"/>
    </row>
    <row r="131" ht="18" customHeight="1">
      <c r="A131" s="39" t="n"/>
      <c r="B131" s="39" t="n"/>
      <c r="C131" s="39" t="n"/>
      <c r="D131" s="39" t="n"/>
      <c r="E131" s="39" t="n"/>
      <c r="F131" s="39" t="n"/>
      <c r="G131" s="39" t="n"/>
      <c r="H131" s="40">
        <f>IF(OR(F131="",F131=0),"",G131/F131)</f>
        <v/>
      </c>
      <c r="I131" s="39" t="n"/>
      <c r="J131" s="39" t="n"/>
      <c r="K131" s="39" t="n"/>
      <c r="L131" s="39" t="n"/>
      <c r="M131" s="39" t="n"/>
      <c r="N131" s="39" t="n"/>
      <c r="O131" s="39" t="n"/>
      <c r="P131" s="39" t="n"/>
    </row>
    <row r="132" ht="18" customHeight="1">
      <c r="A132" s="39" t="n"/>
      <c r="B132" s="39" t="n"/>
      <c r="C132" s="39" t="n"/>
      <c r="D132" s="39" t="n"/>
      <c r="E132" s="39" t="n"/>
      <c r="F132" s="39" t="n"/>
      <c r="G132" s="39" t="n"/>
      <c r="H132" s="40">
        <f>IF(OR(F132="",F132=0),"",G132/F132)</f>
        <v/>
      </c>
      <c r="I132" s="39" t="n"/>
      <c r="J132" s="39" t="n"/>
      <c r="K132" s="39" t="n"/>
      <c r="L132" s="39" t="n"/>
      <c r="M132" s="39" t="n"/>
      <c r="N132" s="39" t="n"/>
      <c r="O132" s="39" t="n"/>
      <c r="P132" s="39" t="n"/>
    </row>
    <row r="133" ht="18" customHeight="1">
      <c r="A133" s="39" t="n"/>
      <c r="B133" s="39" t="n"/>
      <c r="C133" s="39" t="n"/>
      <c r="D133" s="39" t="n"/>
      <c r="E133" s="39" t="n"/>
      <c r="F133" s="39" t="n"/>
      <c r="G133" s="39" t="n"/>
      <c r="H133" s="40">
        <f>IF(OR(F133="",F133=0),"",G133/F133)</f>
        <v/>
      </c>
      <c r="I133" s="39" t="n"/>
      <c r="J133" s="39" t="n"/>
      <c r="K133" s="39" t="n"/>
      <c r="L133" s="39" t="n"/>
      <c r="M133" s="39" t="n"/>
      <c r="N133" s="39" t="n"/>
      <c r="O133" s="39" t="n"/>
      <c r="P133" s="39" t="n"/>
    </row>
    <row r="134" ht="18" customHeight="1">
      <c r="A134" s="39" t="n"/>
      <c r="B134" s="39" t="n"/>
      <c r="C134" s="39" t="n"/>
      <c r="D134" s="39" t="n"/>
      <c r="E134" s="39" t="n"/>
      <c r="F134" s="39" t="n"/>
      <c r="G134" s="39" t="n"/>
      <c r="H134" s="40">
        <f>IF(OR(F134="",F134=0),"",G134/F134)</f>
        <v/>
      </c>
      <c r="I134" s="39" t="n"/>
      <c r="J134" s="39" t="n"/>
      <c r="K134" s="39" t="n"/>
      <c r="L134" s="39" t="n"/>
      <c r="M134" s="39" t="n"/>
      <c r="N134" s="39" t="n"/>
      <c r="O134" s="39" t="n"/>
      <c r="P134" s="39" t="n"/>
    </row>
    <row r="135" ht="18" customHeight="1">
      <c r="A135" s="39" t="n"/>
      <c r="B135" s="39" t="n"/>
      <c r="C135" s="39" t="n"/>
      <c r="D135" s="39" t="n"/>
      <c r="E135" s="39" t="n"/>
      <c r="F135" s="39" t="n"/>
      <c r="G135" s="39" t="n"/>
      <c r="H135" s="40">
        <f>IF(OR(F135="",F135=0),"",G135/F135)</f>
        <v/>
      </c>
      <c r="I135" s="39" t="n"/>
      <c r="J135" s="39" t="n"/>
      <c r="K135" s="39" t="n"/>
      <c r="L135" s="39" t="n"/>
      <c r="M135" s="39" t="n"/>
      <c r="N135" s="39" t="n"/>
      <c r="O135" s="39" t="n"/>
      <c r="P135" s="39" t="n"/>
    </row>
    <row r="136" ht="18" customHeight="1">
      <c r="A136" s="39" t="n"/>
      <c r="B136" s="39" t="n"/>
      <c r="C136" s="39" t="n"/>
      <c r="D136" s="39" t="n"/>
      <c r="E136" s="39" t="n"/>
      <c r="F136" s="39" t="n"/>
      <c r="G136" s="39" t="n"/>
      <c r="H136" s="40">
        <f>IF(OR(F136="",F136=0),"",G136/F136)</f>
        <v/>
      </c>
      <c r="I136" s="39" t="n"/>
      <c r="J136" s="39" t="n"/>
      <c r="K136" s="39" t="n"/>
      <c r="L136" s="39" t="n"/>
      <c r="M136" s="39" t="n"/>
      <c r="N136" s="39" t="n"/>
      <c r="O136" s="39" t="n"/>
      <c r="P136" s="39" t="n"/>
    </row>
    <row r="137" ht="18" customHeight="1">
      <c r="A137" s="39" t="n"/>
      <c r="B137" s="39" t="n"/>
      <c r="C137" s="39" t="n"/>
      <c r="D137" s="39" t="n"/>
      <c r="E137" s="39" t="n"/>
      <c r="F137" s="39" t="n"/>
      <c r="G137" s="39" t="n"/>
      <c r="H137" s="40">
        <f>IF(OR(F137="",F137=0),"",G137/F137)</f>
        <v/>
      </c>
      <c r="I137" s="39" t="n"/>
      <c r="J137" s="39" t="n"/>
      <c r="K137" s="39" t="n"/>
      <c r="L137" s="39" t="n"/>
      <c r="M137" s="39" t="n"/>
      <c r="N137" s="39" t="n"/>
      <c r="O137" s="39" t="n"/>
      <c r="P137" s="39" t="n"/>
    </row>
    <row r="138" ht="18" customHeight="1">
      <c r="A138" s="39" t="n"/>
      <c r="B138" s="39" t="n"/>
      <c r="C138" s="39" t="n"/>
      <c r="D138" s="39" t="n"/>
      <c r="E138" s="39" t="n"/>
      <c r="F138" s="39" t="n"/>
      <c r="G138" s="39" t="n"/>
      <c r="H138" s="40">
        <f>IF(OR(F138="",F138=0),"",G138/F138)</f>
        <v/>
      </c>
      <c r="I138" s="39" t="n"/>
      <c r="J138" s="39" t="n"/>
      <c r="K138" s="39" t="n"/>
      <c r="L138" s="39" t="n"/>
      <c r="M138" s="39" t="n"/>
      <c r="N138" s="39" t="n"/>
      <c r="O138" s="39" t="n"/>
      <c r="P138" s="39" t="n"/>
    </row>
    <row r="139" ht="18" customHeight="1">
      <c r="A139" s="39" t="n"/>
      <c r="B139" s="39" t="n"/>
      <c r="C139" s="39" t="n"/>
      <c r="D139" s="39" t="n"/>
      <c r="E139" s="39" t="n"/>
      <c r="F139" s="39" t="n"/>
      <c r="G139" s="39" t="n"/>
      <c r="H139" s="40">
        <f>IF(OR(F139="",F139=0),"",G139/F139)</f>
        <v/>
      </c>
      <c r="I139" s="39" t="n"/>
      <c r="J139" s="39" t="n"/>
      <c r="K139" s="39" t="n"/>
      <c r="L139" s="39" t="n"/>
      <c r="M139" s="39" t="n"/>
      <c r="N139" s="39" t="n"/>
      <c r="O139" s="39" t="n"/>
      <c r="P139" s="39" t="n"/>
    </row>
    <row r="140" ht="18" customHeight="1">
      <c r="A140" s="39" t="n"/>
      <c r="B140" s="39" t="n"/>
      <c r="C140" s="39" t="n"/>
      <c r="D140" s="39" t="n"/>
      <c r="E140" s="39" t="n"/>
      <c r="F140" s="39" t="n"/>
      <c r="G140" s="39" t="n"/>
      <c r="H140" s="40">
        <f>IF(OR(F140="",F140=0),"",G140/F140)</f>
        <v/>
      </c>
      <c r="I140" s="39" t="n"/>
      <c r="J140" s="39" t="n"/>
      <c r="K140" s="39" t="n"/>
      <c r="L140" s="39" t="n"/>
      <c r="M140" s="39" t="n"/>
      <c r="N140" s="39" t="n"/>
      <c r="O140" s="39" t="n"/>
      <c r="P140" s="39" t="n"/>
    </row>
    <row r="141" ht="18" customHeight="1">
      <c r="A141" s="39" t="n"/>
      <c r="B141" s="39" t="n"/>
      <c r="C141" s="39" t="n"/>
      <c r="D141" s="39" t="n"/>
      <c r="E141" s="39" t="n"/>
      <c r="F141" s="39" t="n"/>
      <c r="G141" s="39" t="n"/>
      <c r="H141" s="40">
        <f>IF(OR(F141="",F141=0),"",G141/F141)</f>
        <v/>
      </c>
      <c r="I141" s="39" t="n"/>
      <c r="J141" s="39" t="n"/>
      <c r="K141" s="39" t="n"/>
      <c r="L141" s="39" t="n"/>
      <c r="M141" s="39" t="n"/>
      <c r="N141" s="39" t="n"/>
      <c r="O141" s="39" t="n"/>
      <c r="P141" s="39" t="n"/>
    </row>
    <row r="142" ht="18" customHeight="1">
      <c r="A142" s="39" t="n"/>
      <c r="B142" s="39" t="n"/>
      <c r="C142" s="39" t="n"/>
      <c r="D142" s="39" t="n"/>
      <c r="E142" s="39" t="n"/>
      <c r="F142" s="39" t="n"/>
      <c r="G142" s="39" t="n"/>
      <c r="H142" s="40">
        <f>IF(OR(F142="",F142=0),"",G142/F142)</f>
        <v/>
      </c>
      <c r="I142" s="39" t="n"/>
      <c r="J142" s="39" t="n"/>
      <c r="K142" s="39" t="n"/>
      <c r="L142" s="39" t="n"/>
      <c r="M142" s="39" t="n"/>
      <c r="N142" s="39" t="n"/>
      <c r="O142" s="39" t="n"/>
      <c r="P142" s="39" t="n"/>
    </row>
    <row r="143" ht="18" customHeight="1">
      <c r="A143" s="39" t="n"/>
      <c r="B143" s="39" t="n"/>
      <c r="C143" s="39" t="n"/>
      <c r="D143" s="39" t="n"/>
      <c r="E143" s="39" t="n"/>
      <c r="F143" s="39" t="n"/>
      <c r="G143" s="39" t="n"/>
      <c r="H143" s="40">
        <f>IF(OR(F143="",F143=0),"",G143/F143)</f>
        <v/>
      </c>
      <c r="I143" s="39" t="n"/>
      <c r="J143" s="39" t="n"/>
      <c r="K143" s="39" t="n"/>
      <c r="L143" s="39" t="n"/>
      <c r="M143" s="39" t="n"/>
      <c r="N143" s="39" t="n"/>
      <c r="O143" s="39" t="n"/>
      <c r="P143" s="39" t="n"/>
    </row>
    <row r="144" ht="18" customHeight="1">
      <c r="A144" s="39" t="n"/>
      <c r="B144" s="39" t="n"/>
      <c r="C144" s="39" t="n"/>
      <c r="D144" s="39" t="n"/>
      <c r="E144" s="39" t="n"/>
      <c r="F144" s="39" t="n"/>
      <c r="G144" s="39" t="n"/>
      <c r="H144" s="40">
        <f>IF(OR(F144="",F144=0),"",G144/F144)</f>
        <v/>
      </c>
      <c r="I144" s="39" t="n"/>
      <c r="J144" s="39" t="n"/>
      <c r="K144" s="39" t="n"/>
      <c r="L144" s="39" t="n"/>
      <c r="M144" s="39" t="n"/>
      <c r="N144" s="39" t="n"/>
      <c r="O144" s="39" t="n"/>
      <c r="P144" s="39" t="n"/>
    </row>
    <row r="145" ht="18" customHeight="1">
      <c r="A145" s="39" t="n"/>
      <c r="B145" s="39" t="n"/>
      <c r="C145" s="39" t="n"/>
      <c r="D145" s="39" t="n"/>
      <c r="E145" s="39" t="n"/>
      <c r="F145" s="39" t="n"/>
      <c r="G145" s="39" t="n"/>
      <c r="H145" s="40">
        <f>IF(OR(F145="",F145=0),"",G145/F145)</f>
        <v/>
      </c>
      <c r="I145" s="39" t="n"/>
      <c r="J145" s="39" t="n"/>
      <c r="K145" s="39" t="n"/>
      <c r="L145" s="39" t="n"/>
      <c r="M145" s="39" t="n"/>
      <c r="N145" s="39" t="n"/>
      <c r="O145" s="39" t="n"/>
      <c r="P145" s="39" t="n"/>
    </row>
    <row r="146" ht="18" customHeight="1">
      <c r="A146" s="39" t="n"/>
      <c r="B146" s="39" t="n"/>
      <c r="C146" s="39" t="n"/>
      <c r="D146" s="39" t="n"/>
      <c r="E146" s="39" t="n"/>
      <c r="F146" s="39" t="n"/>
      <c r="G146" s="39" t="n"/>
      <c r="H146" s="40">
        <f>IF(OR(F146="",F146=0),"",G146/F146)</f>
        <v/>
      </c>
      <c r="I146" s="39" t="n"/>
      <c r="J146" s="39" t="n"/>
      <c r="K146" s="39" t="n"/>
      <c r="L146" s="39" t="n"/>
      <c r="M146" s="39" t="n"/>
      <c r="N146" s="39" t="n"/>
      <c r="O146" s="39" t="n"/>
      <c r="P146" s="39" t="n"/>
    </row>
    <row r="147" ht="18" customHeight="1">
      <c r="A147" s="39" t="n"/>
      <c r="B147" s="39" t="n"/>
      <c r="C147" s="39" t="n"/>
      <c r="D147" s="39" t="n"/>
      <c r="E147" s="39" t="n"/>
      <c r="F147" s="39" t="n"/>
      <c r="G147" s="39" t="n"/>
      <c r="H147" s="40">
        <f>IF(OR(F147="",F147=0),"",G147/F147)</f>
        <v/>
      </c>
      <c r="I147" s="39" t="n"/>
      <c r="J147" s="39" t="n"/>
      <c r="K147" s="39" t="n"/>
      <c r="L147" s="39" t="n"/>
      <c r="M147" s="39" t="n"/>
      <c r="N147" s="39" t="n"/>
      <c r="O147" s="39" t="n"/>
      <c r="P147" s="39" t="n"/>
    </row>
    <row r="148" ht="18" customHeight="1">
      <c r="A148" s="39" t="n"/>
      <c r="B148" s="39" t="n"/>
      <c r="C148" s="39" t="n"/>
      <c r="D148" s="39" t="n"/>
      <c r="E148" s="39" t="n"/>
      <c r="F148" s="39" t="n"/>
      <c r="G148" s="39" t="n"/>
      <c r="H148" s="40">
        <f>IF(OR(F148="",F148=0),"",G148/F148)</f>
        <v/>
      </c>
      <c r="I148" s="39" t="n"/>
      <c r="J148" s="39" t="n"/>
      <c r="K148" s="39" t="n"/>
      <c r="L148" s="39" t="n"/>
      <c r="M148" s="39" t="n"/>
      <c r="N148" s="39" t="n"/>
      <c r="O148" s="39" t="n"/>
      <c r="P148" s="39" t="n"/>
    </row>
    <row r="149" ht="18" customHeight="1">
      <c r="A149" s="39" t="n"/>
      <c r="B149" s="39" t="n"/>
      <c r="C149" s="39" t="n"/>
      <c r="D149" s="39" t="n"/>
      <c r="E149" s="39" t="n"/>
      <c r="F149" s="39" t="n"/>
      <c r="G149" s="39" t="n"/>
      <c r="H149" s="40">
        <f>IF(OR(F149="",F149=0),"",G149/F149)</f>
        <v/>
      </c>
      <c r="I149" s="39" t="n"/>
      <c r="J149" s="39" t="n"/>
      <c r="K149" s="39" t="n"/>
      <c r="L149" s="39" t="n"/>
      <c r="M149" s="39" t="n"/>
      <c r="N149" s="39" t="n"/>
      <c r="O149" s="39" t="n"/>
      <c r="P149" s="39" t="n"/>
    </row>
    <row r="150" ht="18" customHeight="1">
      <c r="A150" s="39" t="n"/>
      <c r="B150" s="39" t="n"/>
      <c r="C150" s="39" t="n"/>
      <c r="D150" s="39" t="n"/>
      <c r="E150" s="39" t="n"/>
      <c r="F150" s="39" t="n"/>
      <c r="G150" s="39" t="n"/>
      <c r="H150" s="40">
        <f>IF(OR(F150="",F150=0),"",G150/F150)</f>
        <v/>
      </c>
      <c r="I150" s="39" t="n"/>
      <c r="J150" s="39" t="n"/>
      <c r="K150" s="39" t="n"/>
      <c r="L150" s="39" t="n"/>
      <c r="M150" s="39" t="n"/>
      <c r="N150" s="39" t="n"/>
      <c r="O150" s="39" t="n"/>
      <c r="P150" s="39" t="n"/>
    </row>
    <row r="151" ht="18" customHeight="1">
      <c r="A151" s="39" t="n"/>
      <c r="B151" s="39" t="n"/>
      <c r="C151" s="39" t="n"/>
      <c r="D151" s="39" t="n"/>
      <c r="E151" s="39" t="n"/>
      <c r="F151" s="39" t="n"/>
      <c r="G151" s="39" t="n"/>
      <c r="H151" s="40">
        <f>IF(OR(F151="",F151=0),"",G151/F151)</f>
        <v/>
      </c>
      <c r="I151" s="39" t="n"/>
      <c r="J151" s="39" t="n"/>
      <c r="K151" s="39" t="n"/>
      <c r="L151" s="39" t="n"/>
      <c r="M151" s="39" t="n"/>
      <c r="N151" s="39" t="n"/>
      <c r="O151" s="39" t="n"/>
      <c r="P151" s="39" t="n"/>
    </row>
    <row r="152" ht="18" customHeight="1">
      <c r="A152" s="39" t="n"/>
      <c r="B152" s="39" t="n"/>
      <c r="C152" s="39" t="n"/>
      <c r="D152" s="39" t="n"/>
      <c r="E152" s="39" t="n"/>
      <c r="F152" s="39" t="n"/>
      <c r="G152" s="39" t="n"/>
      <c r="H152" s="40">
        <f>IF(OR(F152="",F152=0),"",G152/F152)</f>
        <v/>
      </c>
      <c r="I152" s="39" t="n"/>
      <c r="J152" s="39" t="n"/>
      <c r="K152" s="39" t="n"/>
      <c r="L152" s="39" t="n"/>
      <c r="M152" s="39" t="n"/>
      <c r="N152" s="39" t="n"/>
      <c r="O152" s="39" t="n"/>
      <c r="P152" s="39" t="n"/>
    </row>
    <row r="153" ht="18" customHeight="1">
      <c r="A153" s="39" t="n"/>
      <c r="B153" s="39" t="n"/>
      <c r="C153" s="39" t="n"/>
      <c r="D153" s="39" t="n"/>
      <c r="E153" s="39" t="n"/>
      <c r="F153" s="39" t="n"/>
      <c r="G153" s="39" t="n"/>
      <c r="H153" s="40">
        <f>IF(OR(F153="",F153=0),"",G153/F153)</f>
        <v/>
      </c>
      <c r="I153" s="39" t="n"/>
      <c r="J153" s="39" t="n"/>
      <c r="K153" s="39" t="n"/>
      <c r="L153" s="39" t="n"/>
      <c r="M153" s="39" t="n"/>
      <c r="N153" s="39" t="n"/>
      <c r="O153" s="39" t="n"/>
      <c r="P153" s="39" t="n"/>
    </row>
    <row r="154" ht="18" customHeight="1">
      <c r="A154" s="39" t="n"/>
      <c r="B154" s="39" t="n"/>
      <c r="C154" s="39" t="n"/>
      <c r="D154" s="39" t="n"/>
      <c r="E154" s="39" t="n"/>
      <c r="F154" s="39" t="n"/>
      <c r="G154" s="39" t="n"/>
      <c r="H154" s="40">
        <f>IF(OR(F154="",F154=0),"",G154/F154)</f>
        <v/>
      </c>
      <c r="I154" s="39" t="n"/>
      <c r="J154" s="39" t="n"/>
      <c r="K154" s="39" t="n"/>
      <c r="L154" s="39" t="n"/>
      <c r="M154" s="39" t="n"/>
      <c r="N154" s="39" t="n"/>
      <c r="O154" s="39" t="n"/>
      <c r="P154" s="39" t="n"/>
    </row>
    <row r="155" ht="18" customHeight="1">
      <c r="A155" s="39" t="n"/>
      <c r="B155" s="39" t="n"/>
      <c r="C155" s="39" t="n"/>
      <c r="D155" s="39" t="n"/>
      <c r="E155" s="39" t="n"/>
      <c r="F155" s="39" t="n"/>
      <c r="G155" s="39" t="n"/>
      <c r="H155" s="40">
        <f>IF(OR(F155="",F155=0),"",G155/F155)</f>
        <v/>
      </c>
      <c r="I155" s="39" t="n"/>
      <c r="J155" s="39" t="n"/>
      <c r="K155" s="39" t="n"/>
      <c r="L155" s="39" t="n"/>
      <c r="M155" s="39" t="n"/>
      <c r="N155" s="39" t="n"/>
      <c r="O155" s="39" t="n"/>
      <c r="P155" s="39" t="n"/>
    </row>
    <row r="156" ht="18" customHeight="1">
      <c r="A156" s="39" t="n"/>
      <c r="B156" s="39" t="n"/>
      <c r="C156" s="39" t="n"/>
      <c r="D156" s="39" t="n"/>
      <c r="E156" s="39" t="n"/>
      <c r="F156" s="39" t="n"/>
      <c r="G156" s="39" t="n"/>
      <c r="H156" s="40">
        <f>IF(OR(F156="",F156=0),"",G156/F156)</f>
        <v/>
      </c>
      <c r="I156" s="39" t="n"/>
      <c r="J156" s="39" t="n"/>
      <c r="K156" s="39" t="n"/>
      <c r="L156" s="39" t="n"/>
      <c r="M156" s="39" t="n"/>
      <c r="N156" s="39" t="n"/>
      <c r="O156" s="39" t="n"/>
      <c r="P156" s="39" t="n"/>
    </row>
    <row r="157" ht="18" customHeight="1">
      <c r="A157" s="39" t="n"/>
      <c r="B157" s="39" t="n"/>
      <c r="C157" s="39" t="n"/>
      <c r="D157" s="39" t="n"/>
      <c r="E157" s="39" t="n"/>
      <c r="F157" s="39" t="n"/>
      <c r="G157" s="39" t="n"/>
      <c r="H157" s="40">
        <f>IF(OR(F157="",F157=0),"",G157/F157)</f>
        <v/>
      </c>
      <c r="I157" s="39" t="n"/>
      <c r="J157" s="39" t="n"/>
      <c r="K157" s="39" t="n"/>
      <c r="L157" s="39" t="n"/>
      <c r="M157" s="39" t="n"/>
      <c r="N157" s="39" t="n"/>
      <c r="O157" s="39" t="n"/>
      <c r="P157" s="39" t="n"/>
    </row>
    <row r="158" ht="18" customHeight="1">
      <c r="A158" s="39" t="n"/>
      <c r="B158" s="39" t="n"/>
      <c r="C158" s="39" t="n"/>
      <c r="D158" s="39" t="n"/>
      <c r="E158" s="39" t="n"/>
      <c r="F158" s="39" t="n"/>
      <c r="G158" s="39" t="n"/>
      <c r="H158" s="40">
        <f>IF(OR(F158="",F158=0),"",G158/F158)</f>
        <v/>
      </c>
      <c r="I158" s="39" t="n"/>
      <c r="J158" s="39" t="n"/>
      <c r="K158" s="39" t="n"/>
      <c r="L158" s="39" t="n"/>
      <c r="M158" s="39" t="n"/>
      <c r="N158" s="39" t="n"/>
      <c r="O158" s="39" t="n"/>
      <c r="P158" s="39" t="n"/>
    </row>
    <row r="159" ht="18" customHeight="1">
      <c r="A159" s="39" t="n"/>
      <c r="B159" s="39" t="n"/>
      <c r="C159" s="39" t="n"/>
      <c r="D159" s="39" t="n"/>
      <c r="E159" s="39" t="n"/>
      <c r="F159" s="39" t="n"/>
      <c r="G159" s="39" t="n"/>
      <c r="H159" s="40">
        <f>IF(OR(F159="",F159=0),"",G159/F159)</f>
        <v/>
      </c>
      <c r="I159" s="39" t="n"/>
      <c r="J159" s="39" t="n"/>
      <c r="K159" s="39" t="n"/>
      <c r="L159" s="39" t="n"/>
      <c r="M159" s="39" t="n"/>
      <c r="N159" s="39" t="n"/>
      <c r="O159" s="39" t="n"/>
      <c r="P159" s="39" t="n"/>
    </row>
    <row r="160" ht="18" customHeight="1">
      <c r="A160" s="39" t="n"/>
      <c r="B160" s="39" t="n"/>
      <c r="C160" s="39" t="n"/>
      <c r="D160" s="39" t="n"/>
      <c r="E160" s="39" t="n"/>
      <c r="F160" s="39" t="n"/>
      <c r="G160" s="39" t="n"/>
      <c r="H160" s="40">
        <f>IF(OR(F160="",F160=0),"",G160/F160)</f>
        <v/>
      </c>
      <c r="I160" s="39" t="n"/>
      <c r="J160" s="39" t="n"/>
      <c r="K160" s="39" t="n"/>
      <c r="L160" s="39" t="n"/>
      <c r="M160" s="39" t="n"/>
      <c r="N160" s="39" t="n"/>
      <c r="O160" s="39" t="n"/>
      <c r="P160" s="39" t="n"/>
    </row>
    <row r="161" ht="18" customHeight="1">
      <c r="A161" s="39" t="n"/>
      <c r="B161" s="39" t="n"/>
      <c r="C161" s="39" t="n"/>
      <c r="D161" s="39" t="n"/>
      <c r="E161" s="39" t="n"/>
      <c r="F161" s="39" t="n"/>
      <c r="G161" s="39" t="n"/>
      <c r="H161" s="40">
        <f>IF(OR(F161="",F161=0),"",G161/F161)</f>
        <v/>
      </c>
      <c r="I161" s="39" t="n"/>
      <c r="J161" s="39" t="n"/>
      <c r="K161" s="39" t="n"/>
      <c r="L161" s="39" t="n"/>
      <c r="M161" s="39" t="n"/>
      <c r="N161" s="39" t="n"/>
      <c r="O161" s="39" t="n"/>
      <c r="P161" s="39" t="n"/>
    </row>
    <row r="162" ht="18" customHeight="1">
      <c r="A162" s="39" t="n"/>
      <c r="B162" s="39" t="n"/>
      <c r="C162" s="39" t="n"/>
      <c r="D162" s="39" t="n"/>
      <c r="E162" s="39" t="n"/>
      <c r="F162" s="39" t="n"/>
      <c r="G162" s="39" t="n"/>
      <c r="H162" s="40">
        <f>IF(OR(F162="",F162=0),"",G162/F162)</f>
        <v/>
      </c>
      <c r="I162" s="39" t="n"/>
      <c r="J162" s="39" t="n"/>
      <c r="K162" s="39" t="n"/>
      <c r="L162" s="39" t="n"/>
      <c r="M162" s="39" t="n"/>
      <c r="N162" s="39" t="n"/>
      <c r="O162" s="39" t="n"/>
      <c r="P162" s="39" t="n"/>
    </row>
    <row r="163" ht="18" customHeight="1">
      <c r="A163" s="39" t="n"/>
      <c r="B163" s="39" t="n"/>
      <c r="C163" s="39" t="n"/>
      <c r="D163" s="39" t="n"/>
      <c r="E163" s="39" t="n"/>
      <c r="F163" s="39" t="n"/>
      <c r="G163" s="39" t="n"/>
      <c r="H163" s="40">
        <f>IF(OR(F163="",F163=0),"",G163/F163)</f>
        <v/>
      </c>
      <c r="I163" s="39" t="n"/>
      <c r="J163" s="39" t="n"/>
      <c r="K163" s="39" t="n"/>
      <c r="L163" s="39" t="n"/>
      <c r="M163" s="39" t="n"/>
      <c r="N163" s="39" t="n"/>
      <c r="O163" s="39" t="n"/>
      <c r="P163" s="39" t="n"/>
    </row>
    <row r="164" ht="18" customHeight="1">
      <c r="A164" s="39" t="n"/>
      <c r="B164" s="39" t="n"/>
      <c r="C164" s="39" t="n"/>
      <c r="D164" s="39" t="n"/>
      <c r="E164" s="39" t="n"/>
      <c r="F164" s="39" t="n"/>
      <c r="G164" s="39" t="n"/>
      <c r="H164" s="40">
        <f>IF(OR(F164="",F164=0),"",G164/F164)</f>
        <v/>
      </c>
      <c r="I164" s="39" t="n"/>
      <c r="J164" s="39" t="n"/>
      <c r="K164" s="39" t="n"/>
      <c r="L164" s="39" t="n"/>
      <c r="M164" s="39" t="n"/>
      <c r="N164" s="39" t="n"/>
      <c r="O164" s="39" t="n"/>
      <c r="P164" s="39" t="n"/>
    </row>
    <row r="165" ht="18" customHeight="1">
      <c r="A165" s="39" t="n"/>
      <c r="B165" s="39" t="n"/>
      <c r="C165" s="39" t="n"/>
      <c r="D165" s="39" t="n"/>
      <c r="E165" s="39" t="n"/>
      <c r="F165" s="39" t="n"/>
      <c r="G165" s="39" t="n"/>
      <c r="H165" s="40">
        <f>IF(OR(F165="",F165=0),"",G165/F165)</f>
        <v/>
      </c>
      <c r="I165" s="39" t="n"/>
      <c r="J165" s="39" t="n"/>
      <c r="K165" s="39" t="n"/>
      <c r="L165" s="39" t="n"/>
      <c r="M165" s="39" t="n"/>
      <c r="N165" s="39" t="n"/>
      <c r="O165" s="39" t="n"/>
      <c r="P165" s="39" t="n"/>
    </row>
    <row r="166" ht="18" customHeight="1">
      <c r="A166" s="39" t="n"/>
      <c r="B166" s="39" t="n"/>
      <c r="C166" s="39" t="n"/>
      <c r="D166" s="39" t="n"/>
      <c r="E166" s="39" t="n"/>
      <c r="F166" s="39" t="n"/>
      <c r="G166" s="39" t="n"/>
      <c r="H166" s="40">
        <f>IF(OR(F166="",F166=0),"",G166/F166)</f>
        <v/>
      </c>
      <c r="I166" s="39" t="n"/>
      <c r="J166" s="39" t="n"/>
      <c r="K166" s="39" t="n"/>
      <c r="L166" s="39" t="n"/>
      <c r="M166" s="39" t="n"/>
      <c r="N166" s="39" t="n"/>
      <c r="O166" s="39" t="n"/>
      <c r="P166" s="39" t="n"/>
    </row>
    <row r="167" ht="18" customHeight="1">
      <c r="A167" s="39" t="n"/>
      <c r="B167" s="39" t="n"/>
      <c r="C167" s="39" t="n"/>
      <c r="D167" s="39" t="n"/>
      <c r="E167" s="39" t="n"/>
      <c r="F167" s="39" t="n"/>
      <c r="G167" s="39" t="n"/>
      <c r="H167" s="40">
        <f>IF(OR(F167="",F167=0),"",G167/F167)</f>
        <v/>
      </c>
      <c r="I167" s="39" t="n"/>
      <c r="J167" s="39" t="n"/>
      <c r="K167" s="39" t="n"/>
      <c r="L167" s="39" t="n"/>
      <c r="M167" s="39" t="n"/>
      <c r="N167" s="39" t="n"/>
      <c r="O167" s="39" t="n"/>
      <c r="P167" s="39" t="n"/>
    </row>
    <row r="168" ht="18" customHeight="1">
      <c r="A168" s="39" t="n"/>
      <c r="B168" s="39" t="n"/>
      <c r="C168" s="39" t="n"/>
      <c r="D168" s="39" t="n"/>
      <c r="E168" s="39" t="n"/>
      <c r="F168" s="39" t="n"/>
      <c r="G168" s="39" t="n"/>
      <c r="H168" s="40">
        <f>IF(OR(F168="",F168=0),"",G168/F168)</f>
        <v/>
      </c>
      <c r="I168" s="39" t="n"/>
      <c r="J168" s="39" t="n"/>
      <c r="K168" s="39" t="n"/>
      <c r="L168" s="39" t="n"/>
      <c r="M168" s="39" t="n"/>
      <c r="N168" s="39" t="n"/>
      <c r="O168" s="39" t="n"/>
      <c r="P168" s="39" t="n"/>
    </row>
    <row r="169" ht="18" customHeight="1">
      <c r="A169" s="39" t="n"/>
      <c r="B169" s="39" t="n"/>
      <c r="C169" s="39" t="n"/>
      <c r="D169" s="39" t="n"/>
      <c r="E169" s="39" t="n"/>
      <c r="F169" s="39" t="n"/>
      <c r="G169" s="39" t="n"/>
      <c r="H169" s="40">
        <f>IF(OR(F169="",F169=0),"",G169/F169)</f>
        <v/>
      </c>
      <c r="I169" s="39" t="n"/>
      <c r="J169" s="39" t="n"/>
      <c r="K169" s="39" t="n"/>
      <c r="L169" s="39" t="n"/>
      <c r="M169" s="39" t="n"/>
      <c r="N169" s="39" t="n"/>
      <c r="O169" s="39" t="n"/>
      <c r="P169" s="39" t="n"/>
    </row>
    <row r="170" ht="18" customHeight="1">
      <c r="A170" s="39" t="n"/>
      <c r="B170" s="39" t="n"/>
      <c r="C170" s="39" t="n"/>
      <c r="D170" s="39" t="n"/>
      <c r="E170" s="39" t="n"/>
      <c r="F170" s="39" t="n"/>
      <c r="G170" s="39" t="n"/>
      <c r="H170" s="40">
        <f>IF(OR(F170="",F170=0),"",G170/F170)</f>
        <v/>
      </c>
      <c r="I170" s="39" t="n"/>
      <c r="J170" s="39" t="n"/>
      <c r="K170" s="39" t="n"/>
      <c r="L170" s="39" t="n"/>
      <c r="M170" s="39" t="n"/>
      <c r="N170" s="39" t="n"/>
      <c r="O170" s="39" t="n"/>
      <c r="P170" s="39" t="n"/>
    </row>
    <row r="171" ht="18" customHeight="1">
      <c r="A171" s="39" t="n"/>
      <c r="B171" s="39" t="n"/>
      <c r="C171" s="39" t="n"/>
      <c r="D171" s="39" t="n"/>
      <c r="E171" s="39" t="n"/>
      <c r="F171" s="39" t="n"/>
      <c r="G171" s="39" t="n"/>
      <c r="H171" s="40">
        <f>IF(OR(F171="",F171=0),"",G171/F171)</f>
        <v/>
      </c>
      <c r="I171" s="39" t="n"/>
      <c r="J171" s="39" t="n"/>
      <c r="K171" s="39" t="n"/>
      <c r="L171" s="39" t="n"/>
      <c r="M171" s="39" t="n"/>
      <c r="N171" s="39" t="n"/>
      <c r="O171" s="39" t="n"/>
      <c r="P171" s="39" t="n"/>
    </row>
    <row r="172" ht="18" customHeight="1">
      <c r="A172" s="39" t="n"/>
      <c r="B172" s="39" t="n"/>
      <c r="C172" s="39" t="n"/>
      <c r="D172" s="39" t="n"/>
      <c r="E172" s="39" t="n"/>
      <c r="F172" s="39" t="n"/>
      <c r="G172" s="39" t="n"/>
      <c r="H172" s="40">
        <f>IF(OR(F172="",F172=0),"",G172/F172)</f>
        <v/>
      </c>
      <c r="I172" s="39" t="n"/>
      <c r="J172" s="39" t="n"/>
      <c r="K172" s="39" t="n"/>
      <c r="L172" s="39" t="n"/>
      <c r="M172" s="39" t="n"/>
      <c r="N172" s="39" t="n"/>
      <c r="O172" s="39" t="n"/>
      <c r="P172" s="39" t="n"/>
    </row>
    <row r="173" ht="18" customHeight="1">
      <c r="A173" s="39" t="n"/>
      <c r="B173" s="39" t="n"/>
      <c r="C173" s="39" t="n"/>
      <c r="D173" s="39" t="n"/>
      <c r="E173" s="39" t="n"/>
      <c r="F173" s="39" t="n"/>
      <c r="G173" s="39" t="n"/>
      <c r="H173" s="40">
        <f>IF(OR(F173="",F173=0),"",G173/F173)</f>
        <v/>
      </c>
      <c r="I173" s="39" t="n"/>
      <c r="J173" s="39" t="n"/>
      <c r="K173" s="39" t="n"/>
      <c r="L173" s="39" t="n"/>
      <c r="M173" s="39" t="n"/>
      <c r="N173" s="39" t="n"/>
      <c r="O173" s="39" t="n"/>
      <c r="P173" s="39" t="n"/>
    </row>
    <row r="174" ht="18" customHeight="1">
      <c r="A174" s="39" t="n"/>
      <c r="B174" s="39" t="n"/>
      <c r="C174" s="39" t="n"/>
      <c r="D174" s="39" t="n"/>
      <c r="E174" s="39" t="n"/>
      <c r="F174" s="39" t="n"/>
      <c r="G174" s="39" t="n"/>
      <c r="H174" s="40">
        <f>IF(OR(F174="",F174=0),"",G174/F174)</f>
        <v/>
      </c>
      <c r="I174" s="39" t="n"/>
      <c r="J174" s="39" t="n"/>
      <c r="K174" s="39" t="n"/>
      <c r="L174" s="39" t="n"/>
      <c r="M174" s="39" t="n"/>
      <c r="N174" s="39" t="n"/>
      <c r="O174" s="39" t="n"/>
      <c r="P174" s="39" t="n"/>
    </row>
    <row r="175" ht="18" customHeight="1">
      <c r="A175" s="39" t="n"/>
      <c r="B175" s="39" t="n"/>
      <c r="C175" s="39" t="n"/>
      <c r="D175" s="39" t="n"/>
      <c r="E175" s="39" t="n"/>
      <c r="F175" s="39" t="n"/>
      <c r="G175" s="39" t="n"/>
      <c r="H175" s="40">
        <f>IF(OR(F175="",F175=0),"",G175/F175)</f>
        <v/>
      </c>
      <c r="I175" s="39" t="n"/>
      <c r="J175" s="39" t="n"/>
      <c r="K175" s="39" t="n"/>
      <c r="L175" s="39" t="n"/>
      <c r="M175" s="39" t="n"/>
      <c r="N175" s="39" t="n"/>
      <c r="O175" s="39" t="n"/>
      <c r="P175" s="39" t="n"/>
    </row>
    <row r="176" ht="18" customHeight="1">
      <c r="A176" s="39" t="n"/>
      <c r="B176" s="39" t="n"/>
      <c r="C176" s="39" t="n"/>
      <c r="D176" s="39" t="n"/>
      <c r="E176" s="39" t="n"/>
      <c r="F176" s="39" t="n"/>
      <c r="G176" s="39" t="n"/>
      <c r="H176" s="40">
        <f>IF(OR(F176="",F176=0),"",G176/F176)</f>
        <v/>
      </c>
      <c r="I176" s="39" t="n"/>
      <c r="J176" s="39" t="n"/>
      <c r="K176" s="39" t="n"/>
      <c r="L176" s="39" t="n"/>
      <c r="M176" s="39" t="n"/>
      <c r="N176" s="39" t="n"/>
      <c r="O176" s="39" t="n"/>
      <c r="P176" s="39" t="n"/>
    </row>
    <row r="177" ht="18" customHeight="1">
      <c r="A177" s="39" t="n"/>
      <c r="B177" s="39" t="n"/>
      <c r="C177" s="39" t="n"/>
      <c r="D177" s="39" t="n"/>
      <c r="E177" s="39" t="n"/>
      <c r="F177" s="39" t="n"/>
      <c r="G177" s="39" t="n"/>
      <c r="H177" s="40">
        <f>IF(OR(F177="",F177=0),"",G177/F177)</f>
        <v/>
      </c>
      <c r="I177" s="39" t="n"/>
      <c r="J177" s="39" t="n"/>
      <c r="K177" s="39" t="n"/>
      <c r="L177" s="39" t="n"/>
      <c r="M177" s="39" t="n"/>
      <c r="N177" s="39" t="n"/>
      <c r="O177" s="39" t="n"/>
      <c r="P177" s="39" t="n"/>
    </row>
    <row r="178" ht="18" customHeight="1">
      <c r="A178" s="39" t="n"/>
      <c r="B178" s="39" t="n"/>
      <c r="C178" s="39" t="n"/>
      <c r="D178" s="39" t="n"/>
      <c r="E178" s="39" t="n"/>
      <c r="F178" s="39" t="n"/>
      <c r="G178" s="39" t="n"/>
      <c r="H178" s="40">
        <f>IF(OR(F178="",F178=0),"",G178/F178)</f>
        <v/>
      </c>
      <c r="I178" s="39" t="n"/>
      <c r="J178" s="39" t="n"/>
      <c r="K178" s="39" t="n"/>
      <c r="L178" s="39" t="n"/>
      <c r="M178" s="39" t="n"/>
      <c r="N178" s="39" t="n"/>
      <c r="O178" s="39" t="n"/>
      <c r="P178" s="39" t="n"/>
    </row>
    <row r="179" ht="18" customHeight="1">
      <c r="A179" s="39" t="n"/>
      <c r="B179" s="39" t="n"/>
      <c r="C179" s="39" t="n"/>
      <c r="D179" s="39" t="n"/>
      <c r="E179" s="39" t="n"/>
      <c r="F179" s="39" t="n"/>
      <c r="G179" s="39" t="n"/>
      <c r="H179" s="40">
        <f>IF(OR(F179="",F179=0),"",G179/F179)</f>
        <v/>
      </c>
      <c r="I179" s="39" t="n"/>
      <c r="J179" s="39" t="n"/>
      <c r="K179" s="39" t="n"/>
      <c r="L179" s="39" t="n"/>
      <c r="M179" s="39" t="n"/>
      <c r="N179" s="39" t="n"/>
      <c r="O179" s="39" t="n"/>
      <c r="P179" s="39" t="n"/>
    </row>
    <row r="180" ht="18" customHeight="1">
      <c r="A180" s="39" t="n"/>
      <c r="B180" s="39" t="n"/>
      <c r="C180" s="39" t="n"/>
      <c r="D180" s="39" t="n"/>
      <c r="E180" s="39" t="n"/>
      <c r="F180" s="39" t="n"/>
      <c r="G180" s="39" t="n"/>
      <c r="H180" s="40">
        <f>IF(OR(F180="",F180=0),"",G180/F180)</f>
        <v/>
      </c>
      <c r="I180" s="39" t="n"/>
      <c r="J180" s="39" t="n"/>
      <c r="K180" s="39" t="n"/>
      <c r="L180" s="39" t="n"/>
      <c r="M180" s="39" t="n"/>
      <c r="N180" s="39" t="n"/>
      <c r="O180" s="39" t="n"/>
      <c r="P180" s="39" t="n"/>
    </row>
    <row r="181" ht="18" customHeight="1">
      <c r="A181" s="39" t="n"/>
      <c r="B181" s="39" t="n"/>
      <c r="C181" s="39" t="n"/>
      <c r="D181" s="39" t="n"/>
      <c r="E181" s="39" t="n"/>
      <c r="F181" s="39" t="n"/>
      <c r="G181" s="39" t="n"/>
      <c r="H181" s="40">
        <f>IF(OR(F181="",F181=0),"",G181/F181)</f>
        <v/>
      </c>
      <c r="I181" s="39" t="n"/>
      <c r="J181" s="39" t="n"/>
      <c r="K181" s="39" t="n"/>
      <c r="L181" s="39" t="n"/>
      <c r="M181" s="39" t="n"/>
      <c r="N181" s="39" t="n"/>
      <c r="O181" s="39" t="n"/>
      <c r="P181" s="39" t="n"/>
    </row>
    <row r="182" ht="18" customHeight="1">
      <c r="A182" s="39" t="n"/>
      <c r="B182" s="39" t="n"/>
      <c r="C182" s="39" t="n"/>
      <c r="D182" s="39" t="n"/>
      <c r="E182" s="39" t="n"/>
      <c r="F182" s="39" t="n"/>
      <c r="G182" s="39" t="n"/>
      <c r="H182" s="40">
        <f>IF(OR(F182="",F182=0),"",G182/F182)</f>
        <v/>
      </c>
      <c r="I182" s="39" t="n"/>
      <c r="J182" s="39" t="n"/>
      <c r="K182" s="39" t="n"/>
      <c r="L182" s="39" t="n"/>
      <c r="M182" s="39" t="n"/>
      <c r="N182" s="39" t="n"/>
      <c r="O182" s="39" t="n"/>
      <c r="P182" s="39" t="n"/>
    </row>
    <row r="183" ht="18" customHeight="1">
      <c r="A183" s="39" t="n"/>
      <c r="B183" s="39" t="n"/>
      <c r="C183" s="39" t="n"/>
      <c r="D183" s="39" t="n"/>
      <c r="E183" s="39" t="n"/>
      <c r="F183" s="39" t="n"/>
      <c r="G183" s="39" t="n"/>
      <c r="H183" s="40">
        <f>IF(OR(F183="",F183=0),"",G183/F183)</f>
        <v/>
      </c>
      <c r="I183" s="39" t="n"/>
      <c r="J183" s="39" t="n"/>
      <c r="K183" s="39" t="n"/>
      <c r="L183" s="39" t="n"/>
      <c r="M183" s="39" t="n"/>
      <c r="N183" s="39" t="n"/>
      <c r="O183" s="39" t="n"/>
      <c r="P183" s="39" t="n"/>
    </row>
    <row r="184" ht="18" customHeight="1">
      <c r="A184" s="39" t="n"/>
      <c r="B184" s="39" t="n"/>
      <c r="C184" s="39" t="n"/>
      <c r="D184" s="39" t="n"/>
      <c r="E184" s="39" t="n"/>
      <c r="F184" s="39" t="n"/>
      <c r="G184" s="39" t="n"/>
      <c r="H184" s="40">
        <f>IF(OR(F184="",F184=0),"",G184/F184)</f>
        <v/>
      </c>
      <c r="I184" s="39" t="n"/>
      <c r="J184" s="39" t="n"/>
      <c r="K184" s="39" t="n"/>
      <c r="L184" s="39" t="n"/>
      <c r="M184" s="39" t="n"/>
      <c r="N184" s="39" t="n"/>
      <c r="O184" s="39" t="n"/>
      <c r="P184" s="39" t="n"/>
    </row>
    <row r="185" ht="18" customHeight="1">
      <c r="A185" s="39" t="n"/>
      <c r="B185" s="39" t="n"/>
      <c r="C185" s="39" t="n"/>
      <c r="D185" s="39" t="n"/>
      <c r="E185" s="39" t="n"/>
      <c r="F185" s="39" t="n"/>
      <c r="G185" s="39" t="n"/>
      <c r="H185" s="40">
        <f>IF(OR(F185="",F185=0),"",G185/F185)</f>
        <v/>
      </c>
      <c r="I185" s="39" t="n"/>
      <c r="J185" s="39" t="n"/>
      <c r="K185" s="39" t="n"/>
      <c r="L185" s="39" t="n"/>
      <c r="M185" s="39" t="n"/>
      <c r="N185" s="39" t="n"/>
      <c r="O185" s="39" t="n"/>
      <c r="P185" s="39" t="n"/>
    </row>
    <row r="186" ht="18" customHeight="1">
      <c r="A186" s="39" t="n"/>
      <c r="B186" s="39" t="n"/>
      <c r="C186" s="39" t="n"/>
      <c r="D186" s="39" t="n"/>
      <c r="E186" s="39" t="n"/>
      <c r="F186" s="39" t="n"/>
      <c r="G186" s="39" t="n"/>
      <c r="H186" s="40">
        <f>IF(OR(F186="",F186=0),"",G186/F186)</f>
        <v/>
      </c>
      <c r="I186" s="39" t="n"/>
      <c r="J186" s="39" t="n"/>
      <c r="K186" s="39" t="n"/>
      <c r="L186" s="39" t="n"/>
      <c r="M186" s="39" t="n"/>
      <c r="N186" s="39" t="n"/>
      <c r="O186" s="39" t="n"/>
      <c r="P186" s="39" t="n"/>
    </row>
    <row r="187" ht="18" customHeight="1">
      <c r="A187" s="39" t="n"/>
      <c r="B187" s="39" t="n"/>
      <c r="C187" s="39" t="n"/>
      <c r="D187" s="39" t="n"/>
      <c r="E187" s="39" t="n"/>
      <c r="F187" s="39" t="n"/>
      <c r="G187" s="39" t="n"/>
      <c r="H187" s="40">
        <f>IF(OR(F187="",F187=0),"",G187/F187)</f>
        <v/>
      </c>
      <c r="I187" s="39" t="n"/>
      <c r="J187" s="39" t="n"/>
      <c r="K187" s="39" t="n"/>
      <c r="L187" s="39" t="n"/>
      <c r="M187" s="39" t="n"/>
      <c r="N187" s="39" t="n"/>
      <c r="O187" s="39" t="n"/>
      <c r="P187" s="39" t="n"/>
    </row>
    <row r="188" ht="18" customHeight="1">
      <c r="A188" s="39" t="n"/>
      <c r="B188" s="39" t="n"/>
      <c r="C188" s="39" t="n"/>
      <c r="D188" s="39" t="n"/>
      <c r="E188" s="39" t="n"/>
      <c r="F188" s="39" t="n"/>
      <c r="G188" s="39" t="n"/>
      <c r="H188" s="40">
        <f>IF(OR(F188="",F188=0),"",G188/F188)</f>
        <v/>
      </c>
      <c r="I188" s="39" t="n"/>
      <c r="J188" s="39" t="n"/>
      <c r="K188" s="39" t="n"/>
      <c r="L188" s="39" t="n"/>
      <c r="M188" s="39" t="n"/>
      <c r="N188" s="39" t="n"/>
      <c r="O188" s="39" t="n"/>
      <c r="P188" s="39" t="n"/>
    </row>
    <row r="189" ht="18" customHeight="1">
      <c r="A189" s="39" t="n"/>
      <c r="B189" s="39" t="n"/>
      <c r="C189" s="39" t="n"/>
      <c r="D189" s="39" t="n"/>
      <c r="E189" s="39" t="n"/>
      <c r="F189" s="39" t="n"/>
      <c r="G189" s="39" t="n"/>
      <c r="H189" s="40">
        <f>IF(OR(F189="",F189=0),"",G189/F189)</f>
        <v/>
      </c>
      <c r="I189" s="39" t="n"/>
      <c r="J189" s="39" t="n"/>
      <c r="K189" s="39" t="n"/>
      <c r="L189" s="39" t="n"/>
      <c r="M189" s="39" t="n"/>
      <c r="N189" s="39" t="n"/>
      <c r="O189" s="39" t="n"/>
      <c r="P189" s="39" t="n"/>
    </row>
    <row r="190" ht="18" customHeight="1">
      <c r="A190" s="39" t="n"/>
      <c r="B190" s="39" t="n"/>
      <c r="C190" s="39" t="n"/>
      <c r="D190" s="39" t="n"/>
      <c r="E190" s="39" t="n"/>
      <c r="F190" s="39" t="n"/>
      <c r="G190" s="39" t="n"/>
      <c r="H190" s="40">
        <f>IF(OR(F190="",F190=0),"",G190/F190)</f>
        <v/>
      </c>
      <c r="I190" s="39" t="n"/>
      <c r="J190" s="39" t="n"/>
      <c r="K190" s="39" t="n"/>
      <c r="L190" s="39" t="n"/>
      <c r="M190" s="39" t="n"/>
      <c r="N190" s="39" t="n"/>
      <c r="O190" s="39" t="n"/>
      <c r="P190" s="39" t="n"/>
    </row>
    <row r="191" ht="18" customHeight="1">
      <c r="A191" s="39" t="n"/>
      <c r="B191" s="39" t="n"/>
      <c r="C191" s="39" t="n"/>
      <c r="D191" s="39" t="n"/>
      <c r="E191" s="39" t="n"/>
      <c r="F191" s="39" t="n"/>
      <c r="G191" s="39" t="n"/>
      <c r="H191" s="40">
        <f>IF(OR(F191="",F191=0),"",G191/F191)</f>
        <v/>
      </c>
      <c r="I191" s="39" t="n"/>
      <c r="J191" s="39" t="n"/>
      <c r="K191" s="39" t="n"/>
      <c r="L191" s="39" t="n"/>
      <c r="M191" s="39" t="n"/>
      <c r="N191" s="39" t="n"/>
      <c r="O191" s="39" t="n"/>
      <c r="P191" s="39" t="n"/>
    </row>
    <row r="192" ht="18" customHeight="1">
      <c r="A192" s="39" t="n"/>
      <c r="B192" s="39" t="n"/>
      <c r="C192" s="39" t="n"/>
      <c r="D192" s="39" t="n"/>
      <c r="E192" s="39" t="n"/>
      <c r="F192" s="39" t="n"/>
      <c r="G192" s="39" t="n"/>
      <c r="H192" s="40">
        <f>IF(OR(F192="",F192=0),"",G192/F192)</f>
        <v/>
      </c>
      <c r="I192" s="39" t="n"/>
      <c r="J192" s="39" t="n"/>
      <c r="K192" s="39" t="n"/>
      <c r="L192" s="39" t="n"/>
      <c r="M192" s="39" t="n"/>
      <c r="N192" s="39" t="n"/>
      <c r="O192" s="39" t="n"/>
      <c r="P192" s="39" t="n"/>
    </row>
    <row r="193" ht="18" customHeight="1">
      <c r="A193" s="39" t="n"/>
      <c r="B193" s="39" t="n"/>
      <c r="C193" s="39" t="n"/>
      <c r="D193" s="39" t="n"/>
      <c r="E193" s="39" t="n"/>
      <c r="F193" s="39" t="n"/>
      <c r="G193" s="39" t="n"/>
      <c r="H193" s="40">
        <f>IF(OR(F193="",F193=0),"",G193/F193)</f>
        <v/>
      </c>
      <c r="I193" s="39" t="n"/>
      <c r="J193" s="39" t="n"/>
      <c r="K193" s="39" t="n"/>
      <c r="L193" s="39" t="n"/>
      <c r="M193" s="39" t="n"/>
      <c r="N193" s="39" t="n"/>
      <c r="O193" s="39" t="n"/>
      <c r="P193" s="39" t="n"/>
    </row>
    <row r="194" ht="18" customHeight="1">
      <c r="A194" s="39" t="n"/>
      <c r="B194" s="39" t="n"/>
      <c r="C194" s="39" t="n"/>
      <c r="D194" s="39" t="n"/>
      <c r="E194" s="39" t="n"/>
      <c r="F194" s="39" t="n"/>
      <c r="G194" s="39" t="n"/>
      <c r="H194" s="40">
        <f>IF(OR(F194="",F194=0),"",G194/F194)</f>
        <v/>
      </c>
      <c r="I194" s="39" t="n"/>
      <c r="J194" s="39" t="n"/>
      <c r="K194" s="39" t="n"/>
      <c r="L194" s="39" t="n"/>
      <c r="M194" s="39" t="n"/>
      <c r="N194" s="39" t="n"/>
      <c r="O194" s="39" t="n"/>
      <c r="P194" s="39" t="n"/>
    </row>
    <row r="195" ht="18" customHeight="1">
      <c r="A195" s="39" t="n"/>
      <c r="B195" s="39" t="n"/>
      <c r="C195" s="39" t="n"/>
      <c r="D195" s="39" t="n"/>
      <c r="E195" s="39" t="n"/>
      <c r="F195" s="39" t="n"/>
      <c r="G195" s="39" t="n"/>
      <c r="H195" s="40">
        <f>IF(OR(F195="",F195=0),"",G195/F195)</f>
        <v/>
      </c>
      <c r="I195" s="39" t="n"/>
      <c r="J195" s="39" t="n"/>
      <c r="K195" s="39" t="n"/>
      <c r="L195" s="39" t="n"/>
      <c r="M195" s="39" t="n"/>
      <c r="N195" s="39" t="n"/>
      <c r="O195" s="39" t="n"/>
      <c r="P195" s="39" t="n"/>
    </row>
    <row r="196" ht="18" customHeight="1">
      <c r="A196" s="39" t="n"/>
      <c r="B196" s="39" t="n"/>
      <c r="C196" s="39" t="n"/>
      <c r="D196" s="39" t="n"/>
      <c r="E196" s="39" t="n"/>
      <c r="F196" s="39" t="n"/>
      <c r="G196" s="39" t="n"/>
      <c r="H196" s="40">
        <f>IF(OR(F196="",F196=0),"",G196/F196)</f>
        <v/>
      </c>
      <c r="I196" s="39" t="n"/>
      <c r="J196" s="39" t="n"/>
      <c r="K196" s="39" t="n"/>
      <c r="L196" s="39" t="n"/>
      <c r="M196" s="39" t="n"/>
      <c r="N196" s="39" t="n"/>
      <c r="O196" s="39" t="n"/>
      <c r="P196" s="39" t="n"/>
    </row>
    <row r="197" ht="18" customHeight="1">
      <c r="A197" s="39" t="n"/>
      <c r="B197" s="39" t="n"/>
      <c r="C197" s="39" t="n"/>
      <c r="D197" s="39" t="n"/>
      <c r="E197" s="39" t="n"/>
      <c r="F197" s="39" t="n"/>
      <c r="G197" s="39" t="n"/>
      <c r="H197" s="40">
        <f>IF(OR(F197="",F197=0),"",G197/F197)</f>
        <v/>
      </c>
      <c r="I197" s="39" t="n"/>
      <c r="J197" s="39" t="n"/>
      <c r="K197" s="39" t="n"/>
      <c r="L197" s="39" t="n"/>
      <c r="M197" s="39" t="n"/>
      <c r="N197" s="39" t="n"/>
      <c r="O197" s="39" t="n"/>
      <c r="P197" s="39" t="n"/>
    </row>
    <row r="198" ht="18" customHeight="1">
      <c r="A198" s="39" t="n"/>
      <c r="B198" s="39" t="n"/>
      <c r="C198" s="39" t="n"/>
      <c r="D198" s="39" t="n"/>
      <c r="E198" s="39" t="n"/>
      <c r="F198" s="39" t="n"/>
      <c r="G198" s="39" t="n"/>
      <c r="H198" s="40">
        <f>IF(OR(F198="",F198=0),"",G198/F198)</f>
        <v/>
      </c>
      <c r="I198" s="39" t="n"/>
      <c r="J198" s="39" t="n"/>
      <c r="K198" s="39" t="n"/>
      <c r="L198" s="39" t="n"/>
      <c r="M198" s="39" t="n"/>
      <c r="N198" s="39" t="n"/>
      <c r="O198" s="39" t="n"/>
      <c r="P198" s="39" t="n"/>
    </row>
    <row r="199" ht="18" customHeight="1">
      <c r="A199" s="39" t="n"/>
      <c r="B199" s="39" t="n"/>
      <c r="C199" s="39" t="n"/>
      <c r="D199" s="39" t="n"/>
      <c r="E199" s="39" t="n"/>
      <c r="F199" s="39" t="n"/>
      <c r="G199" s="39" t="n"/>
      <c r="H199" s="40">
        <f>IF(OR(F199="",F199=0),"",G199/F199)</f>
        <v/>
      </c>
      <c r="I199" s="39" t="n"/>
      <c r="J199" s="39" t="n"/>
      <c r="K199" s="39" t="n"/>
      <c r="L199" s="39" t="n"/>
      <c r="M199" s="39" t="n"/>
      <c r="N199" s="39" t="n"/>
      <c r="O199" s="39" t="n"/>
      <c r="P199" s="39" t="n"/>
    </row>
    <row r="200" ht="18" customHeight="1">
      <c r="A200" s="39" t="n"/>
      <c r="B200" s="39" t="n"/>
      <c r="C200" s="39" t="n"/>
      <c r="D200" s="39" t="n"/>
      <c r="E200" s="39" t="n"/>
      <c r="F200" s="39" t="n"/>
      <c r="G200" s="39" t="n"/>
      <c r="H200" s="40">
        <f>IF(OR(F200="",F200=0),"",G200/F200)</f>
        <v/>
      </c>
      <c r="I200" s="39" t="n"/>
      <c r="J200" s="39" t="n"/>
      <c r="K200" s="39" t="n"/>
      <c r="L200" s="39" t="n"/>
      <c r="M200" s="39" t="n"/>
      <c r="N200" s="39" t="n"/>
      <c r="O200" s="39" t="n"/>
      <c r="P200" s="39" t="n"/>
    </row>
    <row r="201" ht="18" customHeight="1">
      <c r="A201" s="39" t="n"/>
      <c r="B201" s="39" t="n"/>
      <c r="C201" s="39" t="n"/>
      <c r="D201" s="39" t="n"/>
      <c r="E201" s="39" t="n"/>
      <c r="F201" s="39" t="n"/>
      <c r="G201" s="39" t="n"/>
      <c r="H201" s="40">
        <f>IF(OR(F201="",F201=0),"",G201/F201)</f>
        <v/>
      </c>
      <c r="I201" s="39" t="n"/>
      <c r="J201" s="39" t="n"/>
      <c r="K201" s="39" t="n"/>
      <c r="L201" s="39" t="n"/>
      <c r="M201" s="39" t="n"/>
      <c r="N201" s="39" t="n"/>
      <c r="O201" s="39" t="n"/>
      <c r="P201" s="39" t="n"/>
    </row>
    <row r="202" ht="18" customHeight="1">
      <c r="A202" s="39" t="n"/>
      <c r="B202" s="39" t="n"/>
      <c r="C202" s="39" t="n"/>
      <c r="D202" s="39" t="n"/>
      <c r="E202" s="39" t="n"/>
      <c r="F202" s="39" t="n"/>
      <c r="G202" s="39" t="n"/>
      <c r="H202" s="40">
        <f>IF(OR(F202="",F202=0),"",G202/F202)</f>
        <v/>
      </c>
      <c r="I202" s="39" t="n"/>
      <c r="J202" s="39" t="n"/>
      <c r="K202" s="39" t="n"/>
      <c r="L202" s="39" t="n"/>
      <c r="M202" s="39" t="n"/>
      <c r="N202" s="39" t="n"/>
      <c r="O202" s="39" t="n"/>
      <c r="P202" s="39" t="n"/>
    </row>
    <row r="203" ht="18" customHeight="1">
      <c r="A203" s="39" t="n"/>
      <c r="B203" s="39" t="n"/>
      <c r="C203" s="39" t="n"/>
      <c r="D203" s="39" t="n"/>
      <c r="E203" s="39" t="n"/>
      <c r="F203" s="39" t="n"/>
      <c r="G203" s="39" t="n"/>
      <c r="H203" s="40">
        <f>IF(OR(F203="",F203=0),"",G203/F203)</f>
        <v/>
      </c>
      <c r="I203" s="39" t="n"/>
      <c r="J203" s="39" t="n"/>
      <c r="K203" s="39" t="n"/>
      <c r="L203" s="39" t="n"/>
      <c r="M203" s="39" t="n"/>
      <c r="N203" s="39" t="n"/>
      <c r="O203" s="39" t="n"/>
      <c r="P203" s="39" t="n"/>
    </row>
    <row r="204" ht="18" customHeight="1">
      <c r="A204" s="39" t="n"/>
      <c r="B204" s="39" t="n"/>
      <c r="C204" s="39" t="n"/>
      <c r="D204" s="39" t="n"/>
      <c r="E204" s="39" t="n"/>
      <c r="F204" s="39" t="n"/>
      <c r="G204" s="39" t="n"/>
      <c r="H204" s="40">
        <f>IF(OR(F204="",F204=0),"",G204/F204)</f>
        <v/>
      </c>
      <c r="I204" s="39" t="n"/>
      <c r="J204" s="39" t="n"/>
      <c r="K204" s="39" t="n"/>
      <c r="L204" s="39" t="n"/>
      <c r="M204" s="39" t="n"/>
      <c r="N204" s="39" t="n"/>
      <c r="O204" s="39" t="n"/>
      <c r="P204" s="39" t="n"/>
    </row>
    <row r="205" ht="18" customHeight="1">
      <c r="A205" s="39" t="n"/>
      <c r="B205" s="39" t="n"/>
      <c r="C205" s="39" t="n"/>
      <c r="D205" s="39" t="n"/>
      <c r="E205" s="39" t="n"/>
      <c r="F205" s="39" t="n"/>
      <c r="G205" s="39" t="n"/>
      <c r="H205" s="40">
        <f>IF(OR(F205="",F205=0),"",G205/F205)</f>
        <v/>
      </c>
      <c r="I205" s="39" t="n"/>
      <c r="J205" s="39" t="n"/>
      <c r="K205" s="39" t="n"/>
      <c r="L205" s="39" t="n"/>
      <c r="M205" s="39" t="n"/>
      <c r="N205" s="39" t="n"/>
      <c r="O205" s="39" t="n"/>
      <c r="P205" s="39" t="n"/>
    </row>
    <row r="206" ht="18" customHeight="1">
      <c r="A206" s="39" t="n"/>
      <c r="B206" s="39" t="n"/>
      <c r="C206" s="39" t="n"/>
      <c r="D206" s="39" t="n"/>
      <c r="E206" s="39" t="n"/>
      <c r="F206" s="39" t="n"/>
      <c r="G206" s="39" t="n"/>
      <c r="H206" s="40">
        <f>IF(OR(F206="",F206=0),"",G206/F206)</f>
        <v/>
      </c>
      <c r="I206" s="39" t="n"/>
      <c r="J206" s="39" t="n"/>
      <c r="K206" s="39" t="n"/>
      <c r="L206" s="39" t="n"/>
      <c r="M206" s="39" t="n"/>
      <c r="N206" s="39" t="n"/>
      <c r="O206" s="39" t="n"/>
      <c r="P206" s="39" t="n"/>
    </row>
    <row r="207" ht="18" customHeight="1">
      <c r="A207" s="39" t="n"/>
      <c r="B207" s="39" t="n"/>
      <c r="C207" s="39" t="n"/>
      <c r="D207" s="39" t="n"/>
      <c r="E207" s="39" t="n"/>
      <c r="F207" s="39" t="n"/>
      <c r="G207" s="39" t="n"/>
      <c r="H207" s="40">
        <f>IF(OR(F207="",F207=0),"",G207/F207)</f>
        <v/>
      </c>
      <c r="I207" s="39" t="n"/>
      <c r="J207" s="39" t="n"/>
      <c r="K207" s="39" t="n"/>
      <c r="L207" s="39" t="n"/>
      <c r="M207" s="39" t="n"/>
      <c r="N207" s="39" t="n"/>
      <c r="O207" s="39" t="n"/>
      <c r="P207" s="39" t="n"/>
    </row>
    <row r="208" ht="18" customHeight="1">
      <c r="A208" s="39" t="n"/>
      <c r="B208" s="39" t="n"/>
      <c r="C208" s="39" t="n"/>
      <c r="D208" s="39" t="n"/>
      <c r="E208" s="39" t="n"/>
      <c r="F208" s="39" t="n"/>
      <c r="G208" s="39" t="n"/>
      <c r="H208" s="40">
        <f>IF(OR(F208="",F208=0),"",G208/F208)</f>
        <v/>
      </c>
      <c r="I208" s="39" t="n"/>
      <c r="J208" s="39" t="n"/>
      <c r="K208" s="39" t="n"/>
      <c r="L208" s="39" t="n"/>
      <c r="M208" s="39" t="n"/>
      <c r="N208" s="39" t="n"/>
      <c r="O208" s="39" t="n"/>
      <c r="P208" s="39" t="n"/>
    </row>
    <row r="209" ht="18" customHeight="1">
      <c r="A209" s="39" t="n"/>
      <c r="B209" s="39" t="n"/>
      <c r="C209" s="39" t="n"/>
      <c r="D209" s="39" t="n"/>
      <c r="E209" s="39" t="n"/>
      <c r="F209" s="39" t="n"/>
      <c r="G209" s="39" t="n"/>
      <c r="H209" s="40">
        <f>IF(OR(F209="",F209=0),"",G209/F209)</f>
        <v/>
      </c>
      <c r="I209" s="39" t="n"/>
      <c r="J209" s="39" t="n"/>
      <c r="K209" s="39" t="n"/>
      <c r="L209" s="39" t="n"/>
      <c r="M209" s="39" t="n"/>
      <c r="N209" s="39" t="n"/>
      <c r="O209" s="39" t="n"/>
      <c r="P209" s="39" t="n"/>
    </row>
    <row r="210" ht="18" customHeight="1">
      <c r="A210" s="39" t="n"/>
      <c r="B210" s="39" t="n"/>
      <c r="C210" s="39" t="n"/>
      <c r="D210" s="39" t="n"/>
      <c r="E210" s="39" t="n"/>
      <c r="F210" s="39" t="n"/>
      <c r="G210" s="39" t="n"/>
      <c r="H210" s="40">
        <f>IF(OR(F210="",F210=0),"",G210/F210)</f>
        <v/>
      </c>
      <c r="I210" s="39" t="n"/>
      <c r="J210" s="39" t="n"/>
      <c r="K210" s="39" t="n"/>
      <c r="L210" s="39" t="n"/>
      <c r="M210" s="39" t="n"/>
      <c r="N210" s="39" t="n"/>
      <c r="O210" s="39" t="n"/>
      <c r="P210" s="39" t="n"/>
    </row>
    <row r="211" ht="18" customHeight="1">
      <c r="A211" s="39" t="n"/>
      <c r="B211" s="39" t="n"/>
      <c r="C211" s="39" t="n"/>
      <c r="D211" s="39" t="n"/>
      <c r="E211" s="39" t="n"/>
      <c r="F211" s="39" t="n"/>
      <c r="G211" s="39" t="n"/>
      <c r="H211" s="40">
        <f>IF(OR(F211="",F211=0),"",G211/F211)</f>
        <v/>
      </c>
      <c r="I211" s="39" t="n"/>
      <c r="J211" s="39" t="n"/>
      <c r="K211" s="39" t="n"/>
      <c r="L211" s="39" t="n"/>
      <c r="M211" s="39" t="n"/>
      <c r="N211" s="39" t="n"/>
      <c r="O211" s="39" t="n"/>
      <c r="P211" s="39" t="n"/>
    </row>
    <row r="212" ht="18" customHeight="1">
      <c r="A212" s="39" t="n"/>
      <c r="B212" s="39" t="n"/>
      <c r="C212" s="39" t="n"/>
      <c r="D212" s="39" t="n"/>
      <c r="E212" s="39" t="n"/>
      <c r="F212" s="39" t="n"/>
      <c r="G212" s="39" t="n"/>
      <c r="H212" s="40">
        <f>IF(OR(F212="",F212=0),"",G212/F212)</f>
        <v/>
      </c>
      <c r="I212" s="39" t="n"/>
      <c r="J212" s="39" t="n"/>
      <c r="K212" s="39" t="n"/>
      <c r="L212" s="39" t="n"/>
      <c r="M212" s="39" t="n"/>
      <c r="N212" s="39" t="n"/>
      <c r="O212" s="39" t="n"/>
      <c r="P212" s="39" t="n"/>
    </row>
    <row r="213" ht="18" customHeight="1">
      <c r="A213" s="39" t="n"/>
      <c r="B213" s="39" t="n"/>
      <c r="C213" s="39" t="n"/>
      <c r="D213" s="39" t="n"/>
      <c r="E213" s="39" t="n"/>
      <c r="F213" s="39" t="n"/>
      <c r="G213" s="39" t="n"/>
      <c r="H213" s="40">
        <f>IF(OR(F213="",F213=0),"",G213/F213)</f>
        <v/>
      </c>
      <c r="I213" s="39" t="n"/>
      <c r="J213" s="39" t="n"/>
      <c r="K213" s="39" t="n"/>
      <c r="L213" s="39" t="n"/>
      <c r="M213" s="39" t="n"/>
      <c r="N213" s="39" t="n"/>
      <c r="O213" s="39" t="n"/>
      <c r="P213" s="39" t="n"/>
    </row>
    <row r="214" ht="18" customHeight="1">
      <c r="A214" s="39" t="n"/>
      <c r="B214" s="39" t="n"/>
      <c r="C214" s="39" t="n"/>
      <c r="D214" s="39" t="n"/>
      <c r="E214" s="39" t="n"/>
      <c r="F214" s="39" t="n"/>
      <c r="G214" s="39" t="n"/>
      <c r="H214" s="40">
        <f>IF(OR(F214="",F214=0),"",G214/F214)</f>
        <v/>
      </c>
      <c r="I214" s="39" t="n"/>
      <c r="J214" s="39" t="n"/>
      <c r="K214" s="39" t="n"/>
      <c r="L214" s="39" t="n"/>
      <c r="M214" s="39" t="n"/>
      <c r="N214" s="39" t="n"/>
      <c r="O214" s="39" t="n"/>
      <c r="P214" s="39" t="n"/>
    </row>
    <row r="215" ht="18" customHeight="1">
      <c r="A215" s="39" t="n"/>
      <c r="B215" s="39" t="n"/>
      <c r="C215" s="39" t="n"/>
      <c r="D215" s="39" t="n"/>
      <c r="E215" s="39" t="n"/>
      <c r="F215" s="39" t="n"/>
      <c r="G215" s="39" t="n"/>
      <c r="H215" s="40">
        <f>IF(OR(F215="",F215=0),"",G215/F215)</f>
        <v/>
      </c>
      <c r="I215" s="39" t="n"/>
      <c r="J215" s="39" t="n"/>
      <c r="K215" s="39" t="n"/>
      <c r="L215" s="39" t="n"/>
      <c r="M215" s="39" t="n"/>
      <c r="N215" s="39" t="n"/>
      <c r="O215" s="39" t="n"/>
      <c r="P215" s="39" t="n"/>
    </row>
    <row r="216" ht="18" customHeight="1">
      <c r="A216" s="39" t="n"/>
      <c r="B216" s="39" t="n"/>
      <c r="C216" s="39" t="n"/>
      <c r="D216" s="39" t="n"/>
      <c r="E216" s="39" t="n"/>
      <c r="F216" s="39" t="n"/>
      <c r="G216" s="39" t="n"/>
      <c r="H216" s="40">
        <f>IF(OR(F216="",F216=0),"",G216/F216)</f>
        <v/>
      </c>
      <c r="I216" s="39" t="n"/>
      <c r="J216" s="39" t="n"/>
      <c r="K216" s="39" t="n"/>
      <c r="L216" s="39" t="n"/>
      <c r="M216" s="39" t="n"/>
      <c r="N216" s="39" t="n"/>
      <c r="O216" s="39" t="n"/>
      <c r="P216" s="39" t="n"/>
    </row>
    <row r="217" ht="18" customHeight="1">
      <c r="A217" s="39" t="n"/>
      <c r="B217" s="39" t="n"/>
      <c r="C217" s="39" t="n"/>
      <c r="D217" s="39" t="n"/>
      <c r="E217" s="39" t="n"/>
      <c r="F217" s="39" t="n"/>
      <c r="G217" s="39" t="n"/>
      <c r="H217" s="40">
        <f>IF(OR(F217="",F217=0),"",G217/F217)</f>
        <v/>
      </c>
      <c r="I217" s="39" t="n"/>
      <c r="J217" s="39" t="n"/>
      <c r="K217" s="39" t="n"/>
      <c r="L217" s="39" t="n"/>
      <c r="M217" s="39" t="n"/>
      <c r="N217" s="39" t="n"/>
      <c r="O217" s="39" t="n"/>
      <c r="P217" s="39" t="n"/>
    </row>
    <row r="218" ht="18" customHeight="1">
      <c r="A218" s="39" t="n"/>
      <c r="B218" s="39" t="n"/>
      <c r="C218" s="39" t="n"/>
      <c r="D218" s="39" t="n"/>
      <c r="E218" s="39" t="n"/>
      <c r="F218" s="39" t="n"/>
      <c r="G218" s="39" t="n"/>
      <c r="H218" s="40">
        <f>IF(OR(F218="",F218=0),"",G218/F218)</f>
        <v/>
      </c>
      <c r="I218" s="39" t="n"/>
      <c r="J218" s="39" t="n"/>
      <c r="K218" s="39" t="n"/>
      <c r="L218" s="39" t="n"/>
      <c r="M218" s="39" t="n"/>
      <c r="N218" s="39" t="n"/>
      <c r="O218" s="39" t="n"/>
      <c r="P218" s="39" t="n"/>
    </row>
    <row r="219" ht="18" customHeight="1">
      <c r="A219" s="39" t="n"/>
      <c r="B219" s="39" t="n"/>
      <c r="C219" s="39" t="n"/>
      <c r="D219" s="39" t="n"/>
      <c r="E219" s="39" t="n"/>
      <c r="F219" s="39" t="n"/>
      <c r="G219" s="39" t="n"/>
      <c r="H219" s="40">
        <f>IF(OR(F219="",F219=0),"",G219/F219)</f>
        <v/>
      </c>
      <c r="I219" s="39" t="n"/>
      <c r="J219" s="39" t="n"/>
      <c r="K219" s="39" t="n"/>
      <c r="L219" s="39" t="n"/>
      <c r="M219" s="39" t="n"/>
      <c r="N219" s="39" t="n"/>
      <c r="O219" s="39" t="n"/>
      <c r="P219" s="39" t="n"/>
    </row>
    <row r="220" ht="18" customHeight="1">
      <c r="A220" s="39" t="n"/>
      <c r="B220" s="39" t="n"/>
      <c r="C220" s="39" t="n"/>
      <c r="D220" s="39" t="n"/>
      <c r="E220" s="39" t="n"/>
      <c r="F220" s="39" t="n"/>
      <c r="G220" s="39" t="n"/>
      <c r="H220" s="40">
        <f>IF(OR(F220="",F220=0),"",G220/F220)</f>
        <v/>
      </c>
      <c r="I220" s="39" t="n"/>
      <c r="J220" s="39" t="n"/>
      <c r="K220" s="39" t="n"/>
      <c r="L220" s="39" t="n"/>
      <c r="M220" s="39" t="n"/>
      <c r="N220" s="39" t="n"/>
      <c r="O220" s="39" t="n"/>
      <c r="P220" s="39" t="n"/>
    </row>
    <row r="221" ht="18" customHeight="1">
      <c r="A221" s="39" t="n"/>
      <c r="B221" s="39" t="n"/>
      <c r="C221" s="39" t="n"/>
      <c r="D221" s="39" t="n"/>
      <c r="E221" s="39" t="n"/>
      <c r="F221" s="39" t="n"/>
      <c r="G221" s="39" t="n"/>
      <c r="H221" s="40">
        <f>IF(OR(F221="",F221=0),"",G221/F221)</f>
        <v/>
      </c>
      <c r="I221" s="39" t="n"/>
      <c r="J221" s="39" t="n"/>
      <c r="K221" s="39" t="n"/>
      <c r="L221" s="39" t="n"/>
      <c r="M221" s="39" t="n"/>
      <c r="N221" s="39" t="n"/>
      <c r="O221" s="39" t="n"/>
      <c r="P221" s="39" t="n"/>
    </row>
    <row r="222" ht="18" customHeight="1">
      <c r="A222" s="39" t="n"/>
      <c r="B222" s="39" t="n"/>
      <c r="C222" s="39" t="n"/>
      <c r="D222" s="39" t="n"/>
      <c r="E222" s="39" t="n"/>
      <c r="F222" s="39" t="n"/>
      <c r="G222" s="39" t="n"/>
      <c r="H222" s="40">
        <f>IF(OR(F222="",F222=0),"",G222/F222)</f>
        <v/>
      </c>
      <c r="I222" s="39" t="n"/>
      <c r="J222" s="39" t="n"/>
      <c r="K222" s="39" t="n"/>
      <c r="L222" s="39" t="n"/>
      <c r="M222" s="39" t="n"/>
      <c r="N222" s="39" t="n"/>
      <c r="O222" s="39" t="n"/>
      <c r="P222" s="39" t="n"/>
    </row>
    <row r="223" ht="18" customHeight="1">
      <c r="A223" s="39" t="n"/>
      <c r="B223" s="39" t="n"/>
      <c r="C223" s="39" t="n"/>
      <c r="D223" s="39" t="n"/>
      <c r="E223" s="39" t="n"/>
      <c r="F223" s="39" t="n"/>
      <c r="G223" s="39" t="n"/>
      <c r="H223" s="40">
        <f>IF(OR(F223="",F223=0),"",G223/F223)</f>
        <v/>
      </c>
      <c r="I223" s="39" t="n"/>
      <c r="J223" s="39" t="n"/>
      <c r="K223" s="39" t="n"/>
      <c r="L223" s="39" t="n"/>
      <c r="M223" s="39" t="n"/>
      <c r="N223" s="39" t="n"/>
      <c r="O223" s="39" t="n"/>
      <c r="P223" s="39" t="n"/>
    </row>
    <row r="224" ht="18" customHeight="1">
      <c r="A224" s="39" t="n"/>
      <c r="B224" s="39" t="n"/>
      <c r="C224" s="39" t="n"/>
      <c r="D224" s="39" t="n"/>
      <c r="E224" s="39" t="n"/>
      <c r="F224" s="39" t="n"/>
      <c r="G224" s="39" t="n"/>
      <c r="H224" s="40">
        <f>IF(OR(F224="",F224=0),"",G224/F224)</f>
        <v/>
      </c>
      <c r="I224" s="39" t="n"/>
      <c r="J224" s="39" t="n"/>
      <c r="K224" s="39" t="n"/>
      <c r="L224" s="39" t="n"/>
      <c r="M224" s="39" t="n"/>
      <c r="N224" s="39" t="n"/>
      <c r="O224" s="39" t="n"/>
      <c r="P224" s="39" t="n"/>
    </row>
    <row r="225" ht="18" customHeight="1">
      <c r="A225" s="39" t="n"/>
      <c r="B225" s="39" t="n"/>
      <c r="C225" s="39" t="n"/>
      <c r="D225" s="39" t="n"/>
      <c r="E225" s="39" t="n"/>
      <c r="F225" s="39" t="n"/>
      <c r="G225" s="39" t="n"/>
      <c r="H225" s="40">
        <f>IF(OR(F225="",F225=0),"",G225/F225)</f>
        <v/>
      </c>
      <c r="I225" s="39" t="n"/>
      <c r="J225" s="39" t="n"/>
      <c r="K225" s="39" t="n"/>
      <c r="L225" s="39" t="n"/>
      <c r="M225" s="39" t="n"/>
      <c r="N225" s="39" t="n"/>
      <c r="O225" s="39" t="n"/>
      <c r="P225" s="39" t="n"/>
    </row>
    <row r="226" ht="18" customHeight="1">
      <c r="A226" s="39" t="n"/>
      <c r="B226" s="39" t="n"/>
      <c r="C226" s="39" t="n"/>
      <c r="D226" s="39" t="n"/>
      <c r="E226" s="39" t="n"/>
      <c r="F226" s="39" t="n"/>
      <c r="G226" s="39" t="n"/>
      <c r="H226" s="40">
        <f>IF(OR(F226="",F226=0),"",G226/F226)</f>
        <v/>
      </c>
      <c r="I226" s="39" t="n"/>
      <c r="J226" s="39" t="n"/>
      <c r="K226" s="39" t="n"/>
      <c r="L226" s="39" t="n"/>
      <c r="M226" s="39" t="n"/>
      <c r="N226" s="39" t="n"/>
      <c r="O226" s="39" t="n"/>
      <c r="P226" s="39" t="n"/>
    </row>
    <row r="227" ht="18" customHeight="1">
      <c r="A227" s="39" t="n"/>
      <c r="B227" s="39" t="n"/>
      <c r="C227" s="39" t="n"/>
      <c r="D227" s="39" t="n"/>
      <c r="E227" s="39" t="n"/>
      <c r="F227" s="39" t="n"/>
      <c r="G227" s="39" t="n"/>
      <c r="H227" s="40">
        <f>IF(OR(F227="",F227=0),"",G227/F227)</f>
        <v/>
      </c>
      <c r="I227" s="39" t="n"/>
      <c r="J227" s="39" t="n"/>
      <c r="K227" s="39" t="n"/>
      <c r="L227" s="39" t="n"/>
      <c r="M227" s="39" t="n"/>
      <c r="N227" s="39" t="n"/>
      <c r="O227" s="39" t="n"/>
      <c r="P227" s="39" t="n"/>
    </row>
    <row r="228" ht="18" customHeight="1">
      <c r="A228" s="39" t="n"/>
      <c r="B228" s="39" t="n"/>
      <c r="C228" s="39" t="n"/>
      <c r="D228" s="39" t="n"/>
      <c r="E228" s="39" t="n"/>
      <c r="F228" s="39" t="n"/>
      <c r="G228" s="39" t="n"/>
      <c r="H228" s="40">
        <f>IF(OR(F228="",F228=0),"",G228/F228)</f>
        <v/>
      </c>
      <c r="I228" s="39" t="n"/>
      <c r="J228" s="39" t="n"/>
      <c r="K228" s="39" t="n"/>
      <c r="L228" s="39" t="n"/>
      <c r="M228" s="39" t="n"/>
      <c r="N228" s="39" t="n"/>
      <c r="O228" s="39" t="n"/>
      <c r="P228" s="39" t="n"/>
    </row>
    <row r="229" ht="18" customHeight="1">
      <c r="A229" s="39" t="n"/>
      <c r="B229" s="39" t="n"/>
      <c r="C229" s="39" t="n"/>
      <c r="D229" s="39" t="n"/>
      <c r="E229" s="39" t="n"/>
      <c r="F229" s="39" t="n"/>
      <c r="G229" s="39" t="n"/>
      <c r="H229" s="40">
        <f>IF(OR(F229="",F229=0),"",G229/F229)</f>
        <v/>
      </c>
      <c r="I229" s="39" t="n"/>
      <c r="J229" s="39" t="n"/>
      <c r="K229" s="39" t="n"/>
      <c r="L229" s="39" t="n"/>
      <c r="M229" s="39" t="n"/>
      <c r="N229" s="39" t="n"/>
      <c r="O229" s="39" t="n"/>
      <c r="P229" s="39" t="n"/>
    </row>
    <row r="230" ht="18" customHeight="1">
      <c r="A230" s="39" t="n"/>
      <c r="B230" s="39" t="n"/>
      <c r="C230" s="39" t="n"/>
      <c r="D230" s="39" t="n"/>
      <c r="E230" s="39" t="n"/>
      <c r="F230" s="39" t="n"/>
      <c r="G230" s="39" t="n"/>
      <c r="H230" s="40">
        <f>IF(OR(F230="",F230=0),"",G230/F230)</f>
        <v/>
      </c>
      <c r="I230" s="39" t="n"/>
      <c r="J230" s="39" t="n"/>
      <c r="K230" s="39" t="n"/>
      <c r="L230" s="39" t="n"/>
      <c r="M230" s="39" t="n"/>
      <c r="N230" s="39" t="n"/>
      <c r="O230" s="39" t="n"/>
      <c r="P230" s="39" t="n"/>
    </row>
    <row r="231" ht="18" customHeight="1">
      <c r="A231" s="39" t="n"/>
      <c r="B231" s="39" t="n"/>
      <c r="C231" s="39" t="n"/>
      <c r="D231" s="39" t="n"/>
      <c r="E231" s="39" t="n"/>
      <c r="F231" s="39" t="n"/>
      <c r="G231" s="39" t="n"/>
      <c r="H231" s="40">
        <f>IF(OR(F231="",F231=0),"",G231/F231)</f>
        <v/>
      </c>
      <c r="I231" s="39" t="n"/>
      <c r="J231" s="39" t="n"/>
      <c r="K231" s="39" t="n"/>
      <c r="L231" s="39" t="n"/>
      <c r="M231" s="39" t="n"/>
      <c r="N231" s="39" t="n"/>
      <c r="O231" s="39" t="n"/>
      <c r="P231" s="39" t="n"/>
    </row>
    <row r="232" ht="18" customHeight="1">
      <c r="A232" s="39" t="n"/>
      <c r="B232" s="39" t="n"/>
      <c r="C232" s="39" t="n"/>
      <c r="D232" s="39" t="n"/>
      <c r="E232" s="39" t="n"/>
      <c r="F232" s="39" t="n"/>
      <c r="G232" s="39" t="n"/>
      <c r="H232" s="40">
        <f>IF(OR(F232="",F232=0),"",G232/F232)</f>
        <v/>
      </c>
      <c r="I232" s="39" t="n"/>
      <c r="J232" s="39" t="n"/>
      <c r="K232" s="39" t="n"/>
      <c r="L232" s="39" t="n"/>
      <c r="M232" s="39" t="n"/>
      <c r="N232" s="39" t="n"/>
      <c r="O232" s="39" t="n"/>
      <c r="P232" s="39" t="n"/>
    </row>
    <row r="233" ht="18" customHeight="1">
      <c r="A233" s="39" t="n"/>
      <c r="B233" s="39" t="n"/>
      <c r="C233" s="39" t="n"/>
      <c r="D233" s="39" t="n"/>
      <c r="E233" s="39" t="n"/>
      <c r="F233" s="39" t="n"/>
      <c r="G233" s="39" t="n"/>
      <c r="H233" s="40">
        <f>IF(OR(F233="",F233=0),"",G233/F233)</f>
        <v/>
      </c>
      <c r="I233" s="39" t="n"/>
      <c r="J233" s="39" t="n"/>
      <c r="K233" s="39" t="n"/>
      <c r="L233" s="39" t="n"/>
      <c r="M233" s="39" t="n"/>
      <c r="N233" s="39" t="n"/>
      <c r="O233" s="39" t="n"/>
      <c r="P233" s="39" t="n"/>
    </row>
    <row r="234" ht="18" customHeight="1">
      <c r="A234" s="39" t="n"/>
      <c r="B234" s="39" t="n"/>
      <c r="C234" s="39" t="n"/>
      <c r="D234" s="39" t="n"/>
      <c r="E234" s="39" t="n"/>
      <c r="F234" s="39" t="n"/>
      <c r="G234" s="39" t="n"/>
      <c r="H234" s="40">
        <f>IF(OR(F234="",F234=0),"",G234/F234)</f>
        <v/>
      </c>
      <c r="I234" s="39" t="n"/>
      <c r="J234" s="39" t="n"/>
      <c r="K234" s="39" t="n"/>
      <c r="L234" s="39" t="n"/>
      <c r="M234" s="39" t="n"/>
      <c r="N234" s="39" t="n"/>
      <c r="O234" s="39" t="n"/>
      <c r="P234" s="39" t="n"/>
    </row>
    <row r="235" ht="18" customHeight="1">
      <c r="A235" s="39" t="n"/>
      <c r="B235" s="39" t="n"/>
      <c r="C235" s="39" t="n"/>
      <c r="D235" s="39" t="n"/>
      <c r="E235" s="39" t="n"/>
      <c r="F235" s="39" t="n"/>
      <c r="G235" s="39" t="n"/>
      <c r="H235" s="40">
        <f>IF(OR(F235="",F235=0),"",G235/F235)</f>
        <v/>
      </c>
      <c r="I235" s="39" t="n"/>
      <c r="J235" s="39" t="n"/>
      <c r="K235" s="39" t="n"/>
      <c r="L235" s="39" t="n"/>
      <c r="M235" s="39" t="n"/>
      <c r="N235" s="39" t="n"/>
      <c r="O235" s="39" t="n"/>
      <c r="P235" s="39" t="n"/>
    </row>
    <row r="236" ht="18" customHeight="1">
      <c r="A236" s="39" t="n"/>
      <c r="B236" s="39" t="n"/>
      <c r="C236" s="39" t="n"/>
      <c r="D236" s="39" t="n"/>
      <c r="E236" s="39" t="n"/>
      <c r="F236" s="39" t="n"/>
      <c r="G236" s="39" t="n"/>
      <c r="H236" s="40">
        <f>IF(OR(F236="",F236=0),"",G236/F236)</f>
        <v/>
      </c>
      <c r="I236" s="39" t="n"/>
      <c r="J236" s="39" t="n"/>
      <c r="K236" s="39" t="n"/>
      <c r="L236" s="39" t="n"/>
      <c r="M236" s="39" t="n"/>
      <c r="N236" s="39" t="n"/>
      <c r="O236" s="39" t="n"/>
      <c r="P236" s="39" t="n"/>
    </row>
    <row r="237" ht="18" customHeight="1">
      <c r="A237" s="39" t="n"/>
      <c r="B237" s="39" t="n"/>
      <c r="C237" s="39" t="n"/>
      <c r="D237" s="39" t="n"/>
      <c r="E237" s="39" t="n"/>
      <c r="F237" s="39" t="n"/>
      <c r="G237" s="39" t="n"/>
      <c r="H237" s="40">
        <f>IF(OR(F237="",F237=0),"",G237/F237)</f>
        <v/>
      </c>
      <c r="I237" s="39" t="n"/>
      <c r="J237" s="39" t="n"/>
      <c r="K237" s="39" t="n"/>
      <c r="L237" s="39" t="n"/>
      <c r="M237" s="39" t="n"/>
      <c r="N237" s="39" t="n"/>
      <c r="O237" s="39" t="n"/>
      <c r="P237" s="39" t="n"/>
    </row>
    <row r="238" ht="18" customHeight="1">
      <c r="A238" s="39" t="n"/>
      <c r="B238" s="39" t="n"/>
      <c r="C238" s="39" t="n"/>
      <c r="D238" s="39" t="n"/>
      <c r="E238" s="39" t="n"/>
      <c r="F238" s="39" t="n"/>
      <c r="G238" s="39" t="n"/>
      <c r="H238" s="40">
        <f>IF(OR(F238="",F238=0),"",G238/F238)</f>
        <v/>
      </c>
      <c r="I238" s="39" t="n"/>
      <c r="J238" s="39" t="n"/>
      <c r="K238" s="39" t="n"/>
      <c r="L238" s="39" t="n"/>
      <c r="M238" s="39" t="n"/>
      <c r="N238" s="39" t="n"/>
      <c r="O238" s="39" t="n"/>
      <c r="P238" s="39" t="n"/>
    </row>
    <row r="239" ht="18" customHeight="1">
      <c r="A239" s="39" t="n"/>
      <c r="B239" s="39" t="n"/>
      <c r="C239" s="39" t="n"/>
      <c r="D239" s="39" t="n"/>
      <c r="E239" s="39" t="n"/>
      <c r="F239" s="39" t="n"/>
      <c r="G239" s="39" t="n"/>
      <c r="H239" s="40">
        <f>IF(OR(F239="",F239=0),"",G239/F239)</f>
        <v/>
      </c>
      <c r="I239" s="39" t="n"/>
      <c r="J239" s="39" t="n"/>
      <c r="K239" s="39" t="n"/>
      <c r="L239" s="39" t="n"/>
      <c r="M239" s="39" t="n"/>
      <c r="N239" s="39" t="n"/>
      <c r="O239" s="39" t="n"/>
      <c r="P239" s="39" t="n"/>
    </row>
    <row r="240" ht="18" customHeight="1">
      <c r="A240" s="39" t="n"/>
      <c r="B240" s="39" t="n"/>
      <c r="C240" s="39" t="n"/>
      <c r="D240" s="39" t="n"/>
      <c r="E240" s="39" t="n"/>
      <c r="F240" s="39" t="n"/>
      <c r="G240" s="39" t="n"/>
      <c r="H240" s="40">
        <f>IF(OR(F240="",F240=0),"",G240/F240)</f>
        <v/>
      </c>
      <c r="I240" s="39" t="n"/>
      <c r="J240" s="39" t="n"/>
      <c r="K240" s="39" t="n"/>
      <c r="L240" s="39" t="n"/>
      <c r="M240" s="39" t="n"/>
      <c r="N240" s="39" t="n"/>
      <c r="O240" s="39" t="n"/>
      <c r="P240" s="39" t="n"/>
    </row>
    <row r="241" ht="18" customHeight="1">
      <c r="A241" s="39" t="n"/>
      <c r="B241" s="39" t="n"/>
      <c r="C241" s="39" t="n"/>
      <c r="D241" s="39" t="n"/>
      <c r="E241" s="39" t="n"/>
      <c r="F241" s="39" t="n"/>
      <c r="G241" s="39" t="n"/>
      <c r="H241" s="40">
        <f>IF(OR(F241="",F241=0),"",G241/F241)</f>
        <v/>
      </c>
      <c r="I241" s="39" t="n"/>
      <c r="J241" s="39" t="n"/>
      <c r="K241" s="39" t="n"/>
      <c r="L241" s="39" t="n"/>
      <c r="M241" s="39" t="n"/>
      <c r="N241" s="39" t="n"/>
      <c r="O241" s="39" t="n"/>
      <c r="P241" s="39" t="n"/>
    </row>
    <row r="242" ht="18" customHeight="1">
      <c r="A242" s="39" t="n"/>
      <c r="B242" s="39" t="n"/>
      <c r="C242" s="39" t="n"/>
      <c r="D242" s="39" t="n"/>
      <c r="E242" s="39" t="n"/>
      <c r="F242" s="39" t="n"/>
      <c r="G242" s="39" t="n"/>
      <c r="H242" s="40">
        <f>IF(OR(F242="",F242=0),"",G242/F242)</f>
        <v/>
      </c>
      <c r="I242" s="39" t="n"/>
      <c r="J242" s="39" t="n"/>
      <c r="K242" s="39" t="n"/>
      <c r="L242" s="39" t="n"/>
      <c r="M242" s="39" t="n"/>
      <c r="N242" s="39" t="n"/>
      <c r="O242" s="39" t="n"/>
      <c r="P242" s="39" t="n"/>
    </row>
    <row r="243" ht="18" customHeight="1">
      <c r="A243" s="39" t="n"/>
      <c r="B243" s="39" t="n"/>
      <c r="C243" s="39" t="n"/>
      <c r="D243" s="39" t="n"/>
      <c r="E243" s="39" t="n"/>
      <c r="F243" s="39" t="n"/>
      <c r="G243" s="39" t="n"/>
      <c r="H243" s="40">
        <f>IF(OR(F243="",F243=0),"",G243/F243)</f>
        <v/>
      </c>
      <c r="I243" s="39" t="n"/>
      <c r="J243" s="39" t="n"/>
      <c r="K243" s="39" t="n"/>
      <c r="L243" s="39" t="n"/>
      <c r="M243" s="39" t="n"/>
      <c r="N243" s="39" t="n"/>
      <c r="O243" s="39" t="n"/>
      <c r="P243" s="39" t="n"/>
    </row>
    <row r="244" ht="18" customHeight="1">
      <c r="A244" s="39" t="n"/>
      <c r="B244" s="39" t="n"/>
      <c r="C244" s="39" t="n"/>
      <c r="D244" s="39" t="n"/>
      <c r="E244" s="39" t="n"/>
      <c r="F244" s="39" t="n"/>
      <c r="G244" s="39" t="n"/>
      <c r="H244" s="40">
        <f>IF(OR(F244="",F244=0),"",G244/F244)</f>
        <v/>
      </c>
      <c r="I244" s="39" t="n"/>
      <c r="J244" s="39" t="n"/>
      <c r="K244" s="39" t="n"/>
      <c r="L244" s="39" t="n"/>
      <c r="M244" s="39" t="n"/>
      <c r="N244" s="39" t="n"/>
      <c r="O244" s="39" t="n"/>
      <c r="P244" s="39" t="n"/>
    </row>
    <row r="245" ht="18" customHeight="1">
      <c r="A245" s="39" t="n"/>
      <c r="B245" s="39" t="n"/>
      <c r="C245" s="39" t="n"/>
      <c r="D245" s="39" t="n"/>
      <c r="E245" s="39" t="n"/>
      <c r="F245" s="39" t="n"/>
      <c r="G245" s="39" t="n"/>
      <c r="H245" s="40">
        <f>IF(OR(F245="",F245=0),"",G245/F245)</f>
        <v/>
      </c>
      <c r="I245" s="39" t="n"/>
      <c r="J245" s="39" t="n"/>
      <c r="K245" s="39" t="n"/>
      <c r="L245" s="39" t="n"/>
      <c r="M245" s="39" t="n"/>
      <c r="N245" s="39" t="n"/>
      <c r="O245" s="39" t="n"/>
      <c r="P245" s="39" t="n"/>
    </row>
    <row r="246" ht="18" customHeight="1">
      <c r="A246" s="39" t="n"/>
      <c r="B246" s="39" t="n"/>
      <c r="C246" s="39" t="n"/>
      <c r="D246" s="39" t="n"/>
      <c r="E246" s="39" t="n"/>
      <c r="F246" s="39" t="n"/>
      <c r="G246" s="39" t="n"/>
      <c r="H246" s="40">
        <f>IF(OR(F246="",F246=0),"",G246/F246)</f>
        <v/>
      </c>
      <c r="I246" s="39" t="n"/>
      <c r="J246" s="39" t="n"/>
      <c r="K246" s="39" t="n"/>
      <c r="L246" s="39" t="n"/>
      <c r="M246" s="39" t="n"/>
      <c r="N246" s="39" t="n"/>
      <c r="O246" s="39" t="n"/>
      <c r="P246" s="39" t="n"/>
    </row>
    <row r="247" ht="18" customHeight="1">
      <c r="A247" s="39" t="n"/>
      <c r="B247" s="39" t="n"/>
      <c r="C247" s="39" t="n"/>
      <c r="D247" s="39" t="n"/>
      <c r="E247" s="39" t="n"/>
      <c r="F247" s="39" t="n"/>
      <c r="G247" s="39" t="n"/>
      <c r="H247" s="40">
        <f>IF(OR(F247="",F247=0),"",G247/F247)</f>
        <v/>
      </c>
      <c r="I247" s="39" t="n"/>
      <c r="J247" s="39" t="n"/>
      <c r="K247" s="39" t="n"/>
      <c r="L247" s="39" t="n"/>
      <c r="M247" s="39" t="n"/>
      <c r="N247" s="39" t="n"/>
      <c r="O247" s="39" t="n"/>
      <c r="P247" s="39" t="n"/>
    </row>
    <row r="248" ht="18" customHeight="1">
      <c r="A248" s="39" t="n"/>
      <c r="B248" s="39" t="n"/>
      <c r="C248" s="39" t="n"/>
      <c r="D248" s="39" t="n"/>
      <c r="E248" s="39" t="n"/>
      <c r="F248" s="39" t="n"/>
      <c r="G248" s="39" t="n"/>
      <c r="H248" s="40">
        <f>IF(OR(F248="",F248=0),"",G248/F248)</f>
        <v/>
      </c>
      <c r="I248" s="39" t="n"/>
      <c r="J248" s="39" t="n"/>
      <c r="K248" s="39" t="n"/>
      <c r="L248" s="39" t="n"/>
      <c r="M248" s="39" t="n"/>
      <c r="N248" s="39" t="n"/>
      <c r="O248" s="39" t="n"/>
      <c r="P248" s="39" t="n"/>
    </row>
    <row r="249" ht="18" customHeight="1">
      <c r="A249" s="39" t="n"/>
      <c r="B249" s="39" t="n"/>
      <c r="C249" s="39" t="n"/>
      <c r="D249" s="39" t="n"/>
      <c r="E249" s="39" t="n"/>
      <c r="F249" s="39" t="n"/>
      <c r="G249" s="39" t="n"/>
      <c r="H249" s="40">
        <f>IF(OR(F249="",F249=0),"",G249/F249)</f>
        <v/>
      </c>
      <c r="I249" s="39" t="n"/>
      <c r="J249" s="39" t="n"/>
      <c r="K249" s="39" t="n"/>
      <c r="L249" s="39" t="n"/>
      <c r="M249" s="39" t="n"/>
      <c r="N249" s="39" t="n"/>
      <c r="O249" s="39" t="n"/>
      <c r="P249" s="39" t="n"/>
    </row>
    <row r="250" ht="18" customHeight="1">
      <c r="A250" s="39" t="n"/>
      <c r="B250" s="39" t="n"/>
      <c r="C250" s="39" t="n"/>
      <c r="D250" s="39" t="n"/>
      <c r="E250" s="39" t="n"/>
      <c r="F250" s="39" t="n"/>
      <c r="G250" s="39" t="n"/>
      <c r="H250" s="40">
        <f>IF(OR(F250="",F250=0),"",G250/F250)</f>
        <v/>
      </c>
      <c r="I250" s="39" t="n"/>
      <c r="J250" s="39" t="n"/>
      <c r="K250" s="39" t="n"/>
      <c r="L250" s="39" t="n"/>
      <c r="M250" s="39" t="n"/>
      <c r="N250" s="39" t="n"/>
      <c r="O250" s="39" t="n"/>
      <c r="P250" s="39" t="n"/>
    </row>
    <row r="251" ht="18" customHeight="1">
      <c r="A251" s="39" t="n"/>
      <c r="B251" s="39" t="n"/>
      <c r="C251" s="39" t="n"/>
      <c r="D251" s="39" t="n"/>
      <c r="E251" s="39" t="n"/>
      <c r="F251" s="39" t="n"/>
      <c r="G251" s="39" t="n"/>
      <c r="H251" s="40">
        <f>IF(OR(F251="",F251=0),"",G251/F251)</f>
        <v/>
      </c>
      <c r="I251" s="39" t="n"/>
      <c r="J251" s="39" t="n"/>
      <c r="K251" s="39" t="n"/>
      <c r="L251" s="39" t="n"/>
      <c r="M251" s="39" t="n"/>
      <c r="N251" s="39" t="n"/>
      <c r="O251" s="39" t="n"/>
      <c r="P251" s="39" t="n"/>
    </row>
    <row r="252" ht="18" customHeight="1">
      <c r="A252" s="39" t="n"/>
      <c r="B252" s="39" t="n"/>
      <c r="C252" s="39" t="n"/>
      <c r="D252" s="39" t="n"/>
      <c r="E252" s="39" t="n"/>
      <c r="F252" s="39" t="n"/>
      <c r="G252" s="39" t="n"/>
      <c r="H252" s="40">
        <f>IF(OR(F252="",F252=0),"",G252/F252)</f>
        <v/>
      </c>
      <c r="I252" s="39" t="n"/>
      <c r="J252" s="39" t="n"/>
      <c r="K252" s="39" t="n"/>
      <c r="L252" s="39" t="n"/>
      <c r="M252" s="39" t="n"/>
      <c r="N252" s="39" t="n"/>
      <c r="O252" s="39" t="n"/>
      <c r="P252" s="39" t="n"/>
    </row>
    <row r="253" ht="18" customHeight="1">
      <c r="A253" s="39" t="n"/>
      <c r="B253" s="39" t="n"/>
      <c r="C253" s="39" t="n"/>
      <c r="D253" s="39" t="n"/>
      <c r="E253" s="39" t="n"/>
      <c r="F253" s="39" t="n"/>
      <c r="G253" s="39" t="n"/>
      <c r="H253" s="40">
        <f>IF(OR(F253="",F253=0),"",G253/F253)</f>
        <v/>
      </c>
      <c r="I253" s="39" t="n"/>
      <c r="J253" s="39" t="n"/>
      <c r="K253" s="39" t="n"/>
      <c r="L253" s="39" t="n"/>
      <c r="M253" s="39" t="n"/>
      <c r="N253" s="39" t="n"/>
      <c r="O253" s="39" t="n"/>
      <c r="P253" s="39" t="n"/>
    </row>
    <row r="254" ht="18" customHeight="1">
      <c r="A254" s="39" t="n"/>
      <c r="B254" s="39" t="n"/>
      <c r="C254" s="39" t="n"/>
      <c r="D254" s="39" t="n"/>
      <c r="E254" s="39" t="n"/>
      <c r="F254" s="39" t="n"/>
      <c r="G254" s="39" t="n"/>
      <c r="H254" s="40">
        <f>IF(OR(F254="",F254=0),"",G254/F254)</f>
        <v/>
      </c>
      <c r="I254" s="39" t="n"/>
      <c r="J254" s="39" t="n"/>
      <c r="K254" s="39" t="n"/>
      <c r="L254" s="39" t="n"/>
      <c r="M254" s="39" t="n"/>
      <c r="N254" s="39" t="n"/>
      <c r="O254" s="39" t="n"/>
      <c r="P254" s="39" t="n"/>
    </row>
    <row r="255" ht="18" customHeight="1">
      <c r="A255" s="39" t="n"/>
      <c r="B255" s="39" t="n"/>
      <c r="C255" s="39" t="n"/>
      <c r="D255" s="39" t="n"/>
      <c r="E255" s="39" t="n"/>
      <c r="F255" s="39" t="n"/>
      <c r="G255" s="39" t="n"/>
      <c r="H255" s="40">
        <f>IF(OR(F255="",F255=0),"",G255/F255)</f>
        <v/>
      </c>
      <c r="I255" s="39" t="n"/>
      <c r="J255" s="39" t="n"/>
      <c r="K255" s="39" t="n"/>
      <c r="L255" s="39" t="n"/>
      <c r="M255" s="39" t="n"/>
      <c r="N255" s="39" t="n"/>
      <c r="O255" s="39" t="n"/>
      <c r="P255" s="39" t="n"/>
    </row>
    <row r="256" ht="18" customHeight="1">
      <c r="A256" s="39" t="n"/>
      <c r="B256" s="39" t="n"/>
      <c r="C256" s="39" t="n"/>
      <c r="D256" s="39" t="n"/>
      <c r="E256" s="39" t="n"/>
      <c r="F256" s="39" t="n"/>
      <c r="G256" s="39" t="n"/>
      <c r="H256" s="40">
        <f>IF(OR(F256="",F256=0),"",G256/F256)</f>
        <v/>
      </c>
      <c r="I256" s="39" t="n"/>
      <c r="J256" s="39" t="n"/>
      <c r="K256" s="39" t="n"/>
      <c r="L256" s="39" t="n"/>
      <c r="M256" s="39" t="n"/>
      <c r="N256" s="39" t="n"/>
      <c r="O256" s="39" t="n"/>
      <c r="P256" s="39" t="n"/>
    </row>
    <row r="257" ht="18" customHeight="1">
      <c r="A257" s="39" t="n"/>
      <c r="B257" s="39" t="n"/>
      <c r="C257" s="39" t="n"/>
      <c r="D257" s="39" t="n"/>
      <c r="E257" s="39" t="n"/>
      <c r="F257" s="39" t="n"/>
      <c r="G257" s="39" t="n"/>
      <c r="H257" s="40">
        <f>IF(OR(F257="",F257=0),"",G257/F257)</f>
        <v/>
      </c>
      <c r="I257" s="39" t="n"/>
      <c r="J257" s="39" t="n"/>
      <c r="K257" s="39" t="n"/>
      <c r="L257" s="39" t="n"/>
      <c r="M257" s="39" t="n"/>
      <c r="N257" s="39" t="n"/>
      <c r="O257" s="39" t="n"/>
      <c r="P257" s="39" t="n"/>
    </row>
    <row r="258" ht="18" customHeight="1">
      <c r="A258" s="39" t="n"/>
      <c r="B258" s="39" t="n"/>
      <c r="C258" s="39" t="n"/>
      <c r="D258" s="39" t="n"/>
      <c r="E258" s="39" t="n"/>
      <c r="F258" s="39" t="n"/>
      <c r="G258" s="39" t="n"/>
      <c r="H258" s="40">
        <f>IF(OR(F258="",F258=0),"",G258/F258)</f>
        <v/>
      </c>
      <c r="I258" s="39" t="n"/>
      <c r="J258" s="39" t="n"/>
      <c r="K258" s="39" t="n"/>
      <c r="L258" s="39" t="n"/>
      <c r="M258" s="39" t="n"/>
      <c r="N258" s="39" t="n"/>
      <c r="O258" s="39" t="n"/>
      <c r="P258" s="39" t="n"/>
    </row>
    <row r="259" ht="18" customHeight="1">
      <c r="A259" s="39" t="n"/>
      <c r="B259" s="39" t="n"/>
      <c r="C259" s="39" t="n"/>
      <c r="D259" s="39" t="n"/>
      <c r="E259" s="39" t="n"/>
      <c r="F259" s="39" t="n"/>
      <c r="G259" s="39" t="n"/>
      <c r="H259" s="40">
        <f>IF(OR(F259="",F259=0),"",G259/F259)</f>
        <v/>
      </c>
      <c r="I259" s="39" t="n"/>
      <c r="J259" s="39" t="n"/>
      <c r="K259" s="39" t="n"/>
      <c r="L259" s="39" t="n"/>
      <c r="M259" s="39" t="n"/>
      <c r="N259" s="39" t="n"/>
      <c r="O259" s="39" t="n"/>
      <c r="P259" s="39" t="n"/>
    </row>
    <row r="260" ht="18" customHeight="1">
      <c r="A260" s="39" t="n"/>
      <c r="B260" s="39" t="n"/>
      <c r="C260" s="39" t="n"/>
      <c r="D260" s="39" t="n"/>
      <c r="E260" s="39" t="n"/>
      <c r="F260" s="39" t="n"/>
      <c r="G260" s="39" t="n"/>
      <c r="H260" s="40">
        <f>IF(OR(F260="",F260=0),"",G260/F260)</f>
        <v/>
      </c>
      <c r="I260" s="39" t="n"/>
      <c r="J260" s="39" t="n"/>
      <c r="K260" s="39" t="n"/>
      <c r="L260" s="39" t="n"/>
      <c r="M260" s="39" t="n"/>
      <c r="N260" s="39" t="n"/>
      <c r="O260" s="39" t="n"/>
      <c r="P260" s="39" t="n"/>
    </row>
    <row r="261" ht="18" customHeight="1">
      <c r="A261" s="39" t="n"/>
      <c r="B261" s="39" t="n"/>
      <c r="C261" s="39" t="n"/>
      <c r="D261" s="39" t="n"/>
      <c r="E261" s="39" t="n"/>
      <c r="F261" s="39" t="n"/>
      <c r="G261" s="39" t="n"/>
      <c r="H261" s="40">
        <f>IF(OR(F261="",F261=0),"",G261/F261)</f>
        <v/>
      </c>
      <c r="I261" s="39" t="n"/>
      <c r="J261" s="39" t="n"/>
      <c r="K261" s="39" t="n"/>
      <c r="L261" s="39" t="n"/>
      <c r="M261" s="39" t="n"/>
      <c r="N261" s="39" t="n"/>
      <c r="O261" s="39" t="n"/>
      <c r="P261" s="39" t="n"/>
    </row>
    <row r="262" ht="18" customHeight="1">
      <c r="A262" s="39" t="n"/>
      <c r="B262" s="39" t="n"/>
      <c r="C262" s="39" t="n"/>
      <c r="D262" s="39" t="n"/>
      <c r="E262" s="39" t="n"/>
      <c r="F262" s="39" t="n"/>
      <c r="G262" s="39" t="n"/>
      <c r="H262" s="40">
        <f>IF(OR(F262="",F262=0),"",G262/F262)</f>
        <v/>
      </c>
      <c r="I262" s="39" t="n"/>
      <c r="J262" s="39" t="n"/>
      <c r="K262" s="39" t="n"/>
      <c r="L262" s="39" t="n"/>
      <c r="M262" s="39" t="n"/>
      <c r="N262" s="39" t="n"/>
      <c r="O262" s="39" t="n"/>
      <c r="P262" s="39" t="n"/>
    </row>
    <row r="263" ht="18" customHeight="1">
      <c r="A263" s="39" t="n"/>
      <c r="B263" s="39" t="n"/>
      <c r="C263" s="39" t="n"/>
      <c r="D263" s="39" t="n"/>
      <c r="E263" s="39" t="n"/>
      <c r="F263" s="39" t="n"/>
      <c r="G263" s="39" t="n"/>
      <c r="H263" s="40">
        <f>IF(OR(F263="",F263=0),"",G263/F263)</f>
        <v/>
      </c>
      <c r="I263" s="39" t="n"/>
      <c r="J263" s="39" t="n"/>
      <c r="K263" s="39" t="n"/>
      <c r="L263" s="39" t="n"/>
      <c r="M263" s="39" t="n"/>
      <c r="N263" s="39" t="n"/>
      <c r="O263" s="39" t="n"/>
      <c r="P263" s="39" t="n"/>
    </row>
    <row r="264" ht="18" customHeight="1">
      <c r="A264" s="39" t="n"/>
      <c r="B264" s="39" t="n"/>
      <c r="C264" s="39" t="n"/>
      <c r="D264" s="39" t="n"/>
      <c r="E264" s="39" t="n"/>
      <c r="F264" s="39" t="n"/>
      <c r="G264" s="39" t="n"/>
      <c r="H264" s="40">
        <f>IF(OR(F264="",F264=0),"",G264/F264)</f>
        <v/>
      </c>
      <c r="I264" s="39" t="n"/>
      <c r="J264" s="39" t="n"/>
      <c r="K264" s="39" t="n"/>
      <c r="L264" s="39" t="n"/>
      <c r="M264" s="39" t="n"/>
      <c r="N264" s="39" t="n"/>
      <c r="O264" s="39" t="n"/>
      <c r="P264" s="39" t="n"/>
    </row>
    <row r="265" ht="18" customHeight="1">
      <c r="A265" s="39" t="n"/>
      <c r="B265" s="39" t="n"/>
      <c r="C265" s="39" t="n"/>
      <c r="D265" s="39" t="n"/>
      <c r="E265" s="39" t="n"/>
      <c r="F265" s="39" t="n"/>
      <c r="G265" s="39" t="n"/>
      <c r="H265" s="40">
        <f>IF(OR(F265="",F265=0),"",G265/F265)</f>
        <v/>
      </c>
      <c r="I265" s="39" t="n"/>
      <c r="J265" s="39" t="n"/>
      <c r="K265" s="39" t="n"/>
      <c r="L265" s="39" t="n"/>
      <c r="M265" s="39" t="n"/>
      <c r="N265" s="39" t="n"/>
      <c r="O265" s="39" t="n"/>
      <c r="P265" s="39" t="n"/>
    </row>
    <row r="266" ht="18" customHeight="1">
      <c r="A266" s="39" t="n"/>
      <c r="B266" s="39" t="n"/>
      <c r="C266" s="39" t="n"/>
      <c r="D266" s="39" t="n"/>
      <c r="E266" s="39" t="n"/>
      <c r="F266" s="39" t="n"/>
      <c r="G266" s="39" t="n"/>
      <c r="H266" s="40">
        <f>IF(OR(F266="",F266=0),"",G266/F266)</f>
        <v/>
      </c>
      <c r="I266" s="39" t="n"/>
      <c r="J266" s="39" t="n"/>
      <c r="K266" s="39" t="n"/>
      <c r="L266" s="39" t="n"/>
      <c r="M266" s="39" t="n"/>
      <c r="N266" s="39" t="n"/>
      <c r="O266" s="39" t="n"/>
      <c r="P266" s="39" t="n"/>
    </row>
    <row r="267" ht="18" customHeight="1">
      <c r="A267" s="39" t="n"/>
      <c r="B267" s="39" t="n"/>
      <c r="C267" s="39" t="n"/>
      <c r="D267" s="39" t="n"/>
      <c r="E267" s="39" t="n"/>
      <c r="F267" s="39" t="n"/>
      <c r="G267" s="39" t="n"/>
      <c r="H267" s="40">
        <f>IF(OR(F267="",F267=0),"",G267/F267)</f>
        <v/>
      </c>
      <c r="I267" s="39" t="n"/>
      <c r="J267" s="39" t="n"/>
      <c r="K267" s="39" t="n"/>
      <c r="L267" s="39" t="n"/>
      <c r="M267" s="39" t="n"/>
      <c r="N267" s="39" t="n"/>
      <c r="O267" s="39" t="n"/>
      <c r="P267" s="39" t="n"/>
    </row>
    <row r="268" ht="18" customHeight="1">
      <c r="A268" s="39" t="n"/>
      <c r="B268" s="39" t="n"/>
      <c r="C268" s="39" t="n"/>
      <c r="D268" s="39" t="n"/>
      <c r="E268" s="39" t="n"/>
      <c r="F268" s="39" t="n"/>
      <c r="G268" s="39" t="n"/>
      <c r="H268" s="40">
        <f>IF(OR(F268="",F268=0),"",G268/F268)</f>
        <v/>
      </c>
      <c r="I268" s="39" t="n"/>
      <c r="J268" s="39" t="n"/>
      <c r="K268" s="39" t="n"/>
      <c r="L268" s="39" t="n"/>
      <c r="M268" s="39" t="n"/>
      <c r="N268" s="39" t="n"/>
      <c r="O268" s="39" t="n"/>
      <c r="P268" s="39" t="n"/>
    </row>
    <row r="269" ht="18" customHeight="1">
      <c r="A269" s="39" t="n"/>
      <c r="B269" s="39" t="n"/>
      <c r="C269" s="39" t="n"/>
      <c r="D269" s="39" t="n"/>
      <c r="E269" s="39" t="n"/>
      <c r="F269" s="39" t="n"/>
      <c r="G269" s="39" t="n"/>
      <c r="H269" s="40">
        <f>IF(OR(F269="",F269=0),"",G269/F269)</f>
        <v/>
      </c>
      <c r="I269" s="39" t="n"/>
      <c r="J269" s="39" t="n"/>
      <c r="K269" s="39" t="n"/>
      <c r="L269" s="39" t="n"/>
      <c r="M269" s="39" t="n"/>
      <c r="N269" s="39" t="n"/>
      <c r="O269" s="39" t="n"/>
      <c r="P269" s="39" t="n"/>
    </row>
    <row r="270" ht="18" customHeight="1">
      <c r="A270" s="39" t="n"/>
      <c r="B270" s="39" t="n"/>
      <c r="C270" s="39" t="n"/>
      <c r="D270" s="39" t="n"/>
      <c r="E270" s="39" t="n"/>
      <c r="F270" s="39" t="n"/>
      <c r="G270" s="39" t="n"/>
      <c r="H270" s="40">
        <f>IF(OR(F270="",F270=0),"",G270/F270)</f>
        <v/>
      </c>
      <c r="I270" s="39" t="n"/>
      <c r="J270" s="39" t="n"/>
      <c r="K270" s="39" t="n"/>
      <c r="L270" s="39" t="n"/>
      <c r="M270" s="39" t="n"/>
      <c r="N270" s="39" t="n"/>
      <c r="O270" s="39" t="n"/>
      <c r="P270" s="39" t="n"/>
    </row>
    <row r="271" ht="18" customHeight="1">
      <c r="A271" s="39" t="n"/>
      <c r="B271" s="39" t="n"/>
      <c r="C271" s="39" t="n"/>
      <c r="D271" s="39" t="n"/>
      <c r="E271" s="39" t="n"/>
      <c r="F271" s="39" t="n"/>
      <c r="G271" s="39" t="n"/>
      <c r="H271" s="40">
        <f>IF(OR(F271="",F271=0),"",G271/F271)</f>
        <v/>
      </c>
      <c r="I271" s="39" t="n"/>
      <c r="J271" s="39" t="n"/>
      <c r="K271" s="39" t="n"/>
      <c r="L271" s="39" t="n"/>
      <c r="M271" s="39" t="n"/>
      <c r="N271" s="39" t="n"/>
      <c r="O271" s="39" t="n"/>
      <c r="P271" s="39" t="n"/>
    </row>
    <row r="272" ht="18" customHeight="1">
      <c r="A272" s="39" t="n"/>
      <c r="B272" s="39" t="n"/>
      <c r="C272" s="39" t="n"/>
      <c r="D272" s="39" t="n"/>
      <c r="E272" s="39" t="n"/>
      <c r="F272" s="39" t="n"/>
      <c r="G272" s="39" t="n"/>
      <c r="H272" s="40">
        <f>IF(OR(F272="",F272=0),"",G272/F272)</f>
        <v/>
      </c>
      <c r="I272" s="39" t="n"/>
      <c r="J272" s="39" t="n"/>
      <c r="K272" s="39" t="n"/>
      <c r="L272" s="39" t="n"/>
      <c r="M272" s="39" t="n"/>
      <c r="N272" s="39" t="n"/>
      <c r="O272" s="39" t="n"/>
      <c r="P272" s="39" t="n"/>
    </row>
    <row r="273" ht="18" customHeight="1">
      <c r="A273" s="39" t="n"/>
      <c r="B273" s="39" t="n"/>
      <c r="C273" s="39" t="n"/>
      <c r="D273" s="39" t="n"/>
      <c r="E273" s="39" t="n"/>
      <c r="F273" s="39" t="n"/>
      <c r="G273" s="39" t="n"/>
      <c r="H273" s="40">
        <f>IF(OR(F273="",F273=0),"",G273/F273)</f>
        <v/>
      </c>
      <c r="I273" s="39" t="n"/>
      <c r="J273" s="39" t="n"/>
      <c r="K273" s="39" t="n"/>
      <c r="L273" s="39" t="n"/>
      <c r="M273" s="39" t="n"/>
      <c r="N273" s="39" t="n"/>
      <c r="O273" s="39" t="n"/>
      <c r="P273" s="39" t="n"/>
    </row>
    <row r="274" ht="18" customHeight="1">
      <c r="A274" s="39" t="n"/>
      <c r="B274" s="39" t="n"/>
      <c r="C274" s="39" t="n"/>
      <c r="D274" s="39" t="n"/>
      <c r="E274" s="39" t="n"/>
      <c r="F274" s="39" t="n"/>
      <c r="G274" s="39" t="n"/>
      <c r="H274" s="40">
        <f>IF(OR(F274="",F274=0),"",G274/F274)</f>
        <v/>
      </c>
      <c r="I274" s="39" t="n"/>
      <c r="J274" s="39" t="n"/>
      <c r="K274" s="39" t="n"/>
      <c r="L274" s="39" t="n"/>
      <c r="M274" s="39" t="n"/>
      <c r="N274" s="39" t="n"/>
      <c r="O274" s="39" t="n"/>
      <c r="P274" s="39" t="n"/>
    </row>
    <row r="275" ht="18" customHeight="1">
      <c r="A275" s="39" t="n"/>
      <c r="B275" s="39" t="n"/>
      <c r="C275" s="39" t="n"/>
      <c r="D275" s="39" t="n"/>
      <c r="E275" s="39" t="n"/>
      <c r="F275" s="39" t="n"/>
      <c r="G275" s="39" t="n"/>
      <c r="H275" s="40">
        <f>IF(OR(F275="",F275=0),"",G275/F275)</f>
        <v/>
      </c>
      <c r="I275" s="39" t="n"/>
      <c r="J275" s="39" t="n"/>
      <c r="K275" s="39" t="n"/>
      <c r="L275" s="39" t="n"/>
      <c r="M275" s="39" t="n"/>
      <c r="N275" s="39" t="n"/>
      <c r="O275" s="39" t="n"/>
      <c r="P275" s="39" t="n"/>
    </row>
    <row r="276" ht="18" customHeight="1">
      <c r="A276" s="39" t="n"/>
      <c r="B276" s="39" t="n"/>
      <c r="C276" s="39" t="n"/>
      <c r="D276" s="39" t="n"/>
      <c r="E276" s="39" t="n"/>
      <c r="F276" s="39" t="n"/>
      <c r="G276" s="39" t="n"/>
      <c r="H276" s="40">
        <f>IF(OR(F276="",F276=0),"",G276/F276)</f>
        <v/>
      </c>
      <c r="I276" s="39" t="n"/>
      <c r="J276" s="39" t="n"/>
      <c r="K276" s="39" t="n"/>
      <c r="L276" s="39" t="n"/>
      <c r="M276" s="39" t="n"/>
      <c r="N276" s="39" t="n"/>
      <c r="O276" s="39" t="n"/>
      <c r="P276" s="39" t="n"/>
    </row>
    <row r="277" ht="18" customHeight="1">
      <c r="A277" s="39" t="n"/>
      <c r="B277" s="39" t="n"/>
      <c r="C277" s="39" t="n"/>
      <c r="D277" s="39" t="n"/>
      <c r="E277" s="39" t="n"/>
      <c r="F277" s="39" t="n"/>
      <c r="G277" s="39" t="n"/>
      <c r="H277" s="40">
        <f>IF(OR(F277="",F277=0),"",G277/F277)</f>
        <v/>
      </c>
      <c r="I277" s="39" t="n"/>
      <c r="J277" s="39" t="n"/>
      <c r="K277" s="39" t="n"/>
      <c r="L277" s="39" t="n"/>
      <c r="M277" s="39" t="n"/>
      <c r="N277" s="39" t="n"/>
      <c r="O277" s="39" t="n"/>
      <c r="P277" s="39" t="n"/>
    </row>
    <row r="278" ht="18" customHeight="1">
      <c r="A278" s="39" t="n"/>
      <c r="B278" s="39" t="n"/>
      <c r="C278" s="39" t="n"/>
      <c r="D278" s="39" t="n"/>
      <c r="E278" s="39" t="n"/>
      <c r="F278" s="39" t="n"/>
      <c r="G278" s="39" t="n"/>
      <c r="H278" s="40">
        <f>IF(OR(F278="",F278=0),"",G278/F278)</f>
        <v/>
      </c>
      <c r="I278" s="39" t="n"/>
      <c r="J278" s="39" t="n"/>
      <c r="K278" s="39" t="n"/>
      <c r="L278" s="39" t="n"/>
      <c r="M278" s="39" t="n"/>
      <c r="N278" s="39" t="n"/>
      <c r="O278" s="39" t="n"/>
      <c r="P278" s="39" t="n"/>
    </row>
    <row r="279" ht="18" customHeight="1">
      <c r="A279" s="39" t="n"/>
      <c r="B279" s="39" t="n"/>
      <c r="C279" s="39" t="n"/>
      <c r="D279" s="39" t="n"/>
      <c r="E279" s="39" t="n"/>
      <c r="F279" s="39" t="n"/>
      <c r="G279" s="39" t="n"/>
      <c r="H279" s="40">
        <f>IF(OR(F279="",F279=0),"",G279/F279)</f>
        <v/>
      </c>
      <c r="I279" s="39" t="n"/>
      <c r="J279" s="39" t="n"/>
      <c r="K279" s="39" t="n"/>
      <c r="L279" s="39" t="n"/>
      <c r="M279" s="39" t="n"/>
      <c r="N279" s="39" t="n"/>
      <c r="O279" s="39" t="n"/>
      <c r="P279" s="39" t="n"/>
    </row>
    <row r="280" ht="18" customHeight="1">
      <c r="A280" s="39" t="n"/>
      <c r="B280" s="39" t="n"/>
      <c r="C280" s="39" t="n"/>
      <c r="D280" s="39" t="n"/>
      <c r="E280" s="39" t="n"/>
      <c r="F280" s="39" t="n"/>
      <c r="G280" s="39" t="n"/>
      <c r="H280" s="40">
        <f>IF(OR(F280="",F280=0),"",G280/F280)</f>
        <v/>
      </c>
      <c r="I280" s="39" t="n"/>
      <c r="J280" s="39" t="n"/>
      <c r="K280" s="39" t="n"/>
      <c r="L280" s="39" t="n"/>
      <c r="M280" s="39" t="n"/>
      <c r="N280" s="39" t="n"/>
      <c r="O280" s="39" t="n"/>
      <c r="P280" s="39" t="n"/>
    </row>
    <row r="281" ht="18" customHeight="1">
      <c r="A281" s="39" t="n"/>
      <c r="B281" s="39" t="n"/>
      <c r="C281" s="39" t="n"/>
      <c r="D281" s="39" t="n"/>
      <c r="E281" s="39" t="n"/>
      <c r="F281" s="39" t="n"/>
      <c r="G281" s="39" t="n"/>
      <c r="H281" s="40">
        <f>IF(OR(F281="",F281=0),"",G281/F281)</f>
        <v/>
      </c>
      <c r="I281" s="39" t="n"/>
      <c r="J281" s="39" t="n"/>
      <c r="K281" s="39" t="n"/>
      <c r="L281" s="39" t="n"/>
      <c r="M281" s="39" t="n"/>
      <c r="N281" s="39" t="n"/>
      <c r="O281" s="39" t="n"/>
      <c r="P281" s="39" t="n"/>
    </row>
    <row r="282" ht="18" customHeight="1">
      <c r="A282" s="39" t="n"/>
      <c r="B282" s="39" t="n"/>
      <c r="C282" s="39" t="n"/>
      <c r="D282" s="39" t="n"/>
      <c r="E282" s="39" t="n"/>
      <c r="F282" s="39" t="n"/>
      <c r="G282" s="39" t="n"/>
      <c r="H282" s="40">
        <f>IF(OR(F282="",F282=0),"",G282/F282)</f>
        <v/>
      </c>
      <c r="I282" s="39" t="n"/>
      <c r="J282" s="39" t="n"/>
      <c r="K282" s="39" t="n"/>
      <c r="L282" s="39" t="n"/>
      <c r="M282" s="39" t="n"/>
      <c r="N282" s="39" t="n"/>
      <c r="O282" s="39" t="n"/>
      <c r="P282" s="39" t="n"/>
    </row>
    <row r="283" ht="18" customHeight="1">
      <c r="A283" s="39" t="n"/>
      <c r="B283" s="39" t="n"/>
      <c r="C283" s="39" t="n"/>
      <c r="D283" s="39" t="n"/>
      <c r="E283" s="39" t="n"/>
      <c r="F283" s="39" t="n"/>
      <c r="G283" s="39" t="n"/>
      <c r="H283" s="40">
        <f>IF(OR(F283="",F283=0),"",G283/F283)</f>
        <v/>
      </c>
      <c r="I283" s="39" t="n"/>
      <c r="J283" s="39" t="n"/>
      <c r="K283" s="39" t="n"/>
      <c r="L283" s="39" t="n"/>
      <c r="M283" s="39" t="n"/>
      <c r="N283" s="39" t="n"/>
      <c r="O283" s="39" t="n"/>
      <c r="P283" s="39" t="n"/>
    </row>
    <row r="284" ht="18" customHeight="1">
      <c r="A284" s="39" t="n"/>
      <c r="B284" s="39" t="n"/>
      <c r="C284" s="39" t="n"/>
      <c r="D284" s="39" t="n"/>
      <c r="E284" s="39" t="n"/>
      <c r="F284" s="39" t="n"/>
      <c r="G284" s="39" t="n"/>
      <c r="H284" s="40">
        <f>IF(OR(F284="",F284=0),"",G284/F284)</f>
        <v/>
      </c>
      <c r="I284" s="39" t="n"/>
      <c r="J284" s="39" t="n"/>
      <c r="K284" s="39" t="n"/>
      <c r="L284" s="39" t="n"/>
      <c r="M284" s="39" t="n"/>
      <c r="N284" s="39" t="n"/>
      <c r="O284" s="39" t="n"/>
      <c r="P284" s="39" t="n"/>
    </row>
    <row r="285" ht="18" customHeight="1">
      <c r="A285" s="39" t="n"/>
      <c r="B285" s="39" t="n"/>
      <c r="C285" s="39" t="n"/>
      <c r="D285" s="39" t="n"/>
      <c r="E285" s="39" t="n"/>
      <c r="F285" s="39" t="n"/>
      <c r="G285" s="39" t="n"/>
      <c r="H285" s="40">
        <f>IF(OR(F285="",F285=0),"",G285/F285)</f>
        <v/>
      </c>
      <c r="I285" s="39" t="n"/>
      <c r="J285" s="39" t="n"/>
      <c r="K285" s="39" t="n"/>
      <c r="L285" s="39" t="n"/>
      <c r="M285" s="39" t="n"/>
      <c r="N285" s="39" t="n"/>
      <c r="O285" s="39" t="n"/>
      <c r="P285" s="39" t="n"/>
    </row>
    <row r="286" ht="18" customHeight="1">
      <c r="A286" s="39" t="n"/>
      <c r="B286" s="39" t="n"/>
      <c r="C286" s="39" t="n"/>
      <c r="D286" s="39" t="n"/>
      <c r="E286" s="39" t="n"/>
      <c r="F286" s="39" t="n"/>
      <c r="G286" s="39" t="n"/>
      <c r="H286" s="40">
        <f>IF(OR(F286="",F286=0),"",G286/F286)</f>
        <v/>
      </c>
      <c r="I286" s="39" t="n"/>
      <c r="J286" s="39" t="n"/>
      <c r="K286" s="39" t="n"/>
      <c r="L286" s="39" t="n"/>
      <c r="M286" s="39" t="n"/>
      <c r="N286" s="39" t="n"/>
      <c r="O286" s="39" t="n"/>
      <c r="P286" s="39" t="n"/>
    </row>
    <row r="287" ht="18" customHeight="1">
      <c r="A287" s="39" t="n"/>
      <c r="B287" s="39" t="n"/>
      <c r="C287" s="39" t="n"/>
      <c r="D287" s="39" t="n"/>
      <c r="E287" s="39" t="n"/>
      <c r="F287" s="39" t="n"/>
      <c r="G287" s="39" t="n"/>
      <c r="H287" s="40">
        <f>IF(OR(F287="",F287=0),"",G287/F287)</f>
        <v/>
      </c>
      <c r="I287" s="39" t="n"/>
      <c r="J287" s="39" t="n"/>
      <c r="K287" s="39" t="n"/>
      <c r="L287" s="39" t="n"/>
      <c r="M287" s="39" t="n"/>
      <c r="N287" s="39" t="n"/>
      <c r="O287" s="39" t="n"/>
      <c r="P287" s="39" t="n"/>
    </row>
    <row r="288" ht="18" customHeight="1">
      <c r="A288" s="39" t="n"/>
      <c r="B288" s="39" t="n"/>
      <c r="C288" s="39" t="n"/>
      <c r="D288" s="39" t="n"/>
      <c r="E288" s="39" t="n"/>
      <c r="F288" s="39" t="n"/>
      <c r="G288" s="39" t="n"/>
      <c r="H288" s="40">
        <f>IF(OR(F288="",F288=0),"",G288/F288)</f>
        <v/>
      </c>
      <c r="I288" s="39" t="n"/>
      <c r="J288" s="39" t="n"/>
      <c r="K288" s="39" t="n"/>
      <c r="L288" s="39" t="n"/>
      <c r="M288" s="39" t="n"/>
      <c r="N288" s="39" t="n"/>
      <c r="O288" s="39" t="n"/>
      <c r="P288" s="39" t="n"/>
    </row>
    <row r="289" ht="18" customHeight="1">
      <c r="A289" s="39" t="n"/>
      <c r="B289" s="39" t="n"/>
      <c r="C289" s="39" t="n"/>
      <c r="D289" s="39" t="n"/>
      <c r="E289" s="39" t="n"/>
      <c r="F289" s="39" t="n"/>
      <c r="G289" s="39" t="n"/>
      <c r="H289" s="40">
        <f>IF(OR(F289="",F289=0),"",G289/F289)</f>
        <v/>
      </c>
      <c r="I289" s="39" t="n"/>
      <c r="J289" s="39" t="n"/>
      <c r="K289" s="39" t="n"/>
      <c r="L289" s="39" t="n"/>
      <c r="M289" s="39" t="n"/>
      <c r="N289" s="39" t="n"/>
      <c r="O289" s="39" t="n"/>
      <c r="P289" s="39" t="n"/>
    </row>
    <row r="290" ht="18" customHeight="1">
      <c r="A290" s="39" t="n"/>
      <c r="B290" s="39" t="n"/>
      <c r="C290" s="39" t="n"/>
      <c r="D290" s="39" t="n"/>
      <c r="E290" s="39" t="n"/>
      <c r="F290" s="39" t="n"/>
      <c r="G290" s="39" t="n"/>
      <c r="H290" s="40">
        <f>IF(OR(F290="",F290=0),"",G290/F290)</f>
        <v/>
      </c>
      <c r="I290" s="39" t="n"/>
      <c r="J290" s="39" t="n"/>
      <c r="K290" s="39" t="n"/>
      <c r="L290" s="39" t="n"/>
      <c r="M290" s="39" t="n"/>
      <c r="N290" s="39" t="n"/>
      <c r="O290" s="39" t="n"/>
      <c r="P290" s="39" t="n"/>
    </row>
    <row r="291" ht="18" customHeight="1">
      <c r="A291" s="39" t="n"/>
      <c r="B291" s="39" t="n"/>
      <c r="C291" s="39" t="n"/>
      <c r="D291" s="39" t="n"/>
      <c r="E291" s="39" t="n"/>
      <c r="F291" s="39" t="n"/>
      <c r="G291" s="39" t="n"/>
      <c r="H291" s="40">
        <f>IF(OR(F291="",F291=0),"",G291/F291)</f>
        <v/>
      </c>
      <c r="I291" s="39" t="n"/>
      <c r="J291" s="39" t="n"/>
      <c r="K291" s="39" t="n"/>
      <c r="L291" s="39" t="n"/>
      <c r="M291" s="39" t="n"/>
      <c r="N291" s="39" t="n"/>
      <c r="O291" s="39" t="n"/>
      <c r="P291" s="39" t="n"/>
    </row>
    <row r="292" ht="18" customHeight="1">
      <c r="A292" s="39" t="n"/>
      <c r="B292" s="39" t="n"/>
      <c r="C292" s="39" t="n"/>
      <c r="D292" s="39" t="n"/>
      <c r="E292" s="39" t="n"/>
      <c r="F292" s="39" t="n"/>
      <c r="G292" s="39" t="n"/>
      <c r="H292" s="40">
        <f>IF(OR(F292="",F292=0),"",G292/F292)</f>
        <v/>
      </c>
      <c r="I292" s="39" t="n"/>
      <c r="J292" s="39" t="n"/>
      <c r="K292" s="39" t="n"/>
      <c r="L292" s="39" t="n"/>
      <c r="M292" s="39" t="n"/>
      <c r="N292" s="39" t="n"/>
      <c r="O292" s="39" t="n"/>
      <c r="P292" s="39" t="n"/>
    </row>
    <row r="293" ht="18" customHeight="1">
      <c r="A293" s="39" t="n"/>
      <c r="B293" s="39" t="n"/>
      <c r="C293" s="39" t="n"/>
      <c r="D293" s="39" t="n"/>
      <c r="E293" s="39" t="n"/>
      <c r="F293" s="39" t="n"/>
      <c r="G293" s="39" t="n"/>
      <c r="H293" s="40">
        <f>IF(OR(F293="",F293=0),"",G293/F293)</f>
        <v/>
      </c>
      <c r="I293" s="39" t="n"/>
      <c r="J293" s="39" t="n"/>
      <c r="K293" s="39" t="n"/>
      <c r="L293" s="39" t="n"/>
      <c r="M293" s="39" t="n"/>
      <c r="N293" s="39" t="n"/>
      <c r="O293" s="39" t="n"/>
      <c r="P293" s="39" t="n"/>
    </row>
    <row r="294" ht="18" customHeight="1">
      <c r="A294" s="39" t="n"/>
      <c r="B294" s="39" t="n"/>
      <c r="C294" s="39" t="n"/>
      <c r="D294" s="39" t="n"/>
      <c r="E294" s="39" t="n"/>
      <c r="F294" s="39" t="n"/>
      <c r="G294" s="39" t="n"/>
      <c r="H294" s="40">
        <f>IF(OR(F294="",F294=0),"",G294/F294)</f>
        <v/>
      </c>
      <c r="I294" s="39" t="n"/>
      <c r="J294" s="39" t="n"/>
      <c r="K294" s="39" t="n"/>
      <c r="L294" s="39" t="n"/>
      <c r="M294" s="39" t="n"/>
      <c r="N294" s="39" t="n"/>
      <c r="O294" s="39" t="n"/>
      <c r="P294" s="39" t="n"/>
    </row>
    <row r="295" ht="18" customHeight="1">
      <c r="A295" s="39" t="n"/>
      <c r="B295" s="39" t="n"/>
      <c r="C295" s="39" t="n"/>
      <c r="D295" s="39" t="n"/>
      <c r="E295" s="39" t="n"/>
      <c r="F295" s="39" t="n"/>
      <c r="G295" s="39" t="n"/>
      <c r="H295" s="40">
        <f>IF(OR(F295="",F295=0),"",G295/F295)</f>
        <v/>
      </c>
      <c r="I295" s="39" t="n"/>
      <c r="J295" s="39" t="n"/>
      <c r="K295" s="39" t="n"/>
      <c r="L295" s="39" t="n"/>
      <c r="M295" s="39" t="n"/>
      <c r="N295" s="39" t="n"/>
      <c r="O295" s="39" t="n"/>
      <c r="P295" s="39" t="n"/>
    </row>
    <row r="296" ht="18" customHeight="1">
      <c r="A296" s="39" t="n"/>
      <c r="B296" s="39" t="n"/>
      <c r="C296" s="39" t="n"/>
      <c r="D296" s="39" t="n"/>
      <c r="E296" s="39" t="n"/>
      <c r="F296" s="39" t="n"/>
      <c r="G296" s="39" t="n"/>
      <c r="H296" s="40">
        <f>IF(OR(F296="",F296=0),"",G296/F296)</f>
        <v/>
      </c>
      <c r="I296" s="39" t="n"/>
      <c r="J296" s="39" t="n"/>
      <c r="K296" s="39" t="n"/>
      <c r="L296" s="39" t="n"/>
      <c r="M296" s="39" t="n"/>
      <c r="N296" s="39" t="n"/>
      <c r="O296" s="39" t="n"/>
      <c r="P296" s="39" t="n"/>
    </row>
    <row r="297" ht="18" customHeight="1">
      <c r="A297" s="39" t="n"/>
      <c r="B297" s="39" t="n"/>
      <c r="C297" s="39" t="n"/>
      <c r="D297" s="39" t="n"/>
      <c r="E297" s="39" t="n"/>
      <c r="F297" s="39" t="n"/>
      <c r="G297" s="39" t="n"/>
      <c r="H297" s="40">
        <f>IF(OR(F297="",F297=0),"",G297/F297)</f>
        <v/>
      </c>
      <c r="I297" s="39" t="n"/>
      <c r="J297" s="39" t="n"/>
      <c r="K297" s="39" t="n"/>
      <c r="L297" s="39" t="n"/>
      <c r="M297" s="39" t="n"/>
      <c r="N297" s="39" t="n"/>
      <c r="O297" s="39" t="n"/>
      <c r="P297" s="39" t="n"/>
    </row>
    <row r="298" ht="18" customHeight="1">
      <c r="A298" s="39" t="n"/>
      <c r="B298" s="39" t="n"/>
      <c r="C298" s="39" t="n"/>
      <c r="D298" s="39" t="n"/>
      <c r="E298" s="39" t="n"/>
      <c r="F298" s="39" t="n"/>
      <c r="G298" s="39" t="n"/>
      <c r="H298" s="40">
        <f>IF(OR(F298="",F298=0),"",G298/F298)</f>
        <v/>
      </c>
      <c r="I298" s="39" t="n"/>
      <c r="J298" s="39" t="n"/>
      <c r="K298" s="39" t="n"/>
      <c r="L298" s="39" t="n"/>
      <c r="M298" s="39" t="n"/>
      <c r="N298" s="39" t="n"/>
      <c r="O298" s="39" t="n"/>
      <c r="P298" s="39" t="n"/>
    </row>
    <row r="299" ht="18" customHeight="1">
      <c r="A299" s="39" t="n"/>
      <c r="B299" s="39" t="n"/>
      <c r="C299" s="39" t="n"/>
      <c r="D299" s="39" t="n"/>
      <c r="E299" s="39" t="n"/>
      <c r="F299" s="39" t="n"/>
      <c r="G299" s="39" t="n"/>
      <c r="H299" s="40">
        <f>IF(OR(F299="",F299=0),"",G299/F299)</f>
        <v/>
      </c>
      <c r="I299" s="39" t="n"/>
      <c r="J299" s="39" t="n"/>
      <c r="K299" s="39" t="n"/>
      <c r="L299" s="39" t="n"/>
      <c r="M299" s="39" t="n"/>
      <c r="N299" s="39" t="n"/>
      <c r="O299" s="39" t="n"/>
      <c r="P299" s="39" t="n"/>
    </row>
    <row r="300" ht="18" customHeight="1">
      <c r="A300" s="39" t="n"/>
      <c r="B300" s="39" t="n"/>
      <c r="C300" s="39" t="n"/>
      <c r="D300" s="39" t="n"/>
      <c r="E300" s="39" t="n"/>
      <c r="F300" s="39" t="n"/>
      <c r="G300" s="39" t="n"/>
      <c r="H300" s="40">
        <f>IF(OR(F300="",F300=0),"",G300/F300)</f>
        <v/>
      </c>
      <c r="I300" s="39" t="n"/>
      <c r="J300" s="39" t="n"/>
      <c r="K300" s="39" t="n"/>
      <c r="L300" s="39" t="n"/>
      <c r="M300" s="39" t="n"/>
      <c r="N300" s="39" t="n"/>
      <c r="O300" s="39" t="n"/>
      <c r="P300" s="39" t="n"/>
    </row>
    <row r="301" ht="18" customHeight="1">
      <c r="A301" s="39" t="n"/>
      <c r="B301" s="39" t="n"/>
      <c r="C301" s="39" t="n"/>
      <c r="D301" s="39" t="n"/>
      <c r="E301" s="39" t="n"/>
      <c r="F301" s="39" t="n"/>
      <c r="G301" s="39" t="n"/>
      <c r="H301" s="40">
        <f>IF(OR(F301="",F301=0),"",G301/F301)</f>
        <v/>
      </c>
      <c r="I301" s="39" t="n"/>
      <c r="J301" s="39" t="n"/>
      <c r="K301" s="39" t="n"/>
      <c r="L301" s="39" t="n"/>
      <c r="M301" s="39" t="n"/>
      <c r="N301" s="39" t="n"/>
      <c r="O301" s="39" t="n"/>
      <c r="P301" s="39" t="n"/>
    </row>
    <row r="302" ht="18" customHeight="1">
      <c r="A302" s="39" t="n"/>
      <c r="B302" s="39" t="n"/>
      <c r="C302" s="39" t="n"/>
      <c r="D302" s="39" t="n"/>
      <c r="E302" s="39" t="n"/>
      <c r="F302" s="39" t="n"/>
      <c r="G302" s="39" t="n"/>
      <c r="H302" s="40">
        <f>IF(OR(F302="",F302=0),"",G302/F302)</f>
        <v/>
      </c>
      <c r="I302" s="39" t="n"/>
      <c r="J302" s="39" t="n"/>
      <c r="K302" s="39" t="n"/>
      <c r="L302" s="39" t="n"/>
      <c r="M302" s="39" t="n"/>
      <c r="N302" s="39" t="n"/>
      <c r="O302" s="39" t="n"/>
      <c r="P302" s="39" t="n"/>
    </row>
    <row r="303" ht="18" customHeight="1">
      <c r="A303" s="39" t="n"/>
      <c r="B303" s="39" t="n"/>
      <c r="C303" s="39" t="n"/>
      <c r="D303" s="39" t="n"/>
      <c r="E303" s="39" t="n"/>
      <c r="F303" s="39" t="n"/>
      <c r="G303" s="39" t="n"/>
      <c r="H303" s="40">
        <f>IF(OR(F303="",F303=0),"",G303/F303)</f>
        <v/>
      </c>
      <c r="I303" s="39" t="n"/>
      <c r="J303" s="39" t="n"/>
      <c r="K303" s="39" t="n"/>
      <c r="L303" s="39" t="n"/>
      <c r="M303" s="39" t="n"/>
      <c r="N303" s="39" t="n"/>
      <c r="O303" s="39" t="n"/>
      <c r="P303" s="39" t="n"/>
    </row>
    <row r="304" ht="18" customHeight="1">
      <c r="A304" s="39" t="n"/>
      <c r="B304" s="39" t="n"/>
      <c r="C304" s="39" t="n"/>
      <c r="D304" s="39" t="n"/>
      <c r="E304" s="39" t="n"/>
      <c r="F304" s="39" t="n"/>
      <c r="G304" s="39" t="n"/>
      <c r="H304" s="40">
        <f>IF(OR(F304="",F304=0),"",G304/F304)</f>
        <v/>
      </c>
      <c r="I304" s="39" t="n"/>
      <c r="J304" s="39" t="n"/>
      <c r="K304" s="39" t="n"/>
      <c r="L304" s="39" t="n"/>
      <c r="M304" s="39" t="n"/>
      <c r="N304" s="39" t="n"/>
      <c r="O304" s="39" t="n"/>
      <c r="P304" s="39" t="n"/>
    </row>
  </sheetData>
  <autoFilter ref="A4:P4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6" customWidth="1" min="13" max="13"/>
    <col width="22" customWidth="1" min="14" max="14"/>
    <col width="20" customWidth="1" min="15" max="15"/>
    <col width="28" customWidth="1" min="16" max="16"/>
  </cols>
  <sheetData>
    <row r="1" ht="36" customHeight="1">
      <c r="A1" s="1" t="inlineStr">
        <is>
          <t>REGISTRO DE ABATE</t>
        </is>
      </c>
    </row>
    <row r="2" ht="22" customHeight="1">
      <c r="A2" s="2" t="inlineStr">
        <is>
          <t>Controle diário de abate, rendimento e inspeção sanitária</t>
        </is>
      </c>
    </row>
    <row r="4" ht="30" customHeight="1">
      <c r="A4" s="31" t="inlineStr">
        <is>
          <t>ID
ABATE</t>
        </is>
      </c>
      <c r="B4" s="31" t="inlineStr">
        <is>
          <t>ID
LOTE</t>
        </is>
      </c>
      <c r="C4" s="31" t="inlineStr">
        <is>
          <t>NOME DO COLONO</t>
        </is>
      </c>
      <c r="D4" s="31" t="inlineStr">
        <is>
          <t>DATA
ABATE</t>
        </is>
      </c>
      <c r="E4" s="31" t="inlineStr">
        <is>
          <t>HORA
INÍCIO</t>
        </is>
      </c>
      <c r="F4" s="31" t="inlineStr">
        <is>
          <t>HORA
FIM</t>
        </is>
      </c>
      <c r="G4" s="31" t="inlineStr">
        <is>
          <t>QTD
ABATIDA</t>
        </is>
      </c>
      <c r="H4" s="31" t="inlineStr">
        <is>
          <t>PESO TOTAL
CARCAÇA (kg)</t>
        </is>
      </c>
      <c r="I4" s="31" t="inlineStr">
        <is>
          <t>REND.
CARCAÇA (%)</t>
        </is>
      </c>
      <c r="J4" s="31" t="inlineStr">
        <is>
          <t>INSP.
SIF</t>
        </is>
      </c>
      <c r="K4" s="31" t="inlineStr">
        <is>
          <t>STATUS
LOTE</t>
        </is>
      </c>
      <c r="L4" s="31" t="inlineStr">
        <is>
          <t>QTD
CONDENADA</t>
        </is>
      </c>
      <c r="M4" s="31" t="inlineStr">
        <is>
          <t>MOTIVO
CONDENAÇÃO</t>
        </is>
      </c>
      <c r="N4" s="31" t="inlineStr">
        <is>
          <t>DESTINO
CARCAÇA</t>
        </is>
      </c>
      <c r="O4" s="31" t="inlineStr">
        <is>
          <t>RESPONSÁVEL
ABATE</t>
        </is>
      </c>
      <c r="P4" s="31" t="inlineStr">
        <is>
          <t>OBS</t>
        </is>
      </c>
    </row>
    <row r="5" ht="18" customHeight="1">
      <c r="A5" s="32" t="inlineStr">
        <is>
          <t>ABA-2024-001</t>
        </is>
      </c>
      <c r="B5" s="32" t="inlineStr">
        <is>
          <t>LOT-2024-001</t>
        </is>
      </c>
      <c r="C5" s="32" t="inlineStr">
        <is>
          <t>João Antônio Beber</t>
        </is>
      </c>
      <c r="D5" s="34" t="n">
        <v>45519</v>
      </c>
      <c r="E5" s="32" t="inlineStr">
        <is>
          <t>13:00</t>
        </is>
      </c>
      <c r="F5" s="32" t="inlineStr">
        <is>
          <t>17:30</t>
        </is>
      </c>
      <c r="G5" s="32" t="n">
        <v>78</v>
      </c>
      <c r="H5" s="35" t="n">
        <v>8580</v>
      </c>
      <c r="I5" s="42">
        <f>IF(RECEBIMENTO!G5=0,"",H5/RECEBIMENTO!G5)</f>
        <v/>
      </c>
      <c r="J5" s="32" t="inlineStr">
        <is>
          <t>APROVADO</t>
        </is>
      </c>
      <c r="K5" s="32" t="inlineStr">
        <is>
          <t>ABATIDO</t>
        </is>
      </c>
      <c r="L5" s="32" t="n">
        <v>2</v>
      </c>
      <c r="M5" s="32" t="inlineStr">
        <is>
          <t>Lesão pulmonar</t>
        </is>
      </c>
      <c r="N5" s="32" t="inlineStr">
        <is>
          <t>Frigorífico PG</t>
        </is>
      </c>
      <c r="O5" s="32" t="inlineStr">
        <is>
          <t>Marcos Silva</t>
        </is>
      </c>
      <c r="P5" s="32" t="inlineStr"/>
    </row>
    <row r="6" ht="18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43" t="n"/>
      <c r="J6" s="39" t="n"/>
      <c r="K6" s="39" t="n"/>
      <c r="L6" s="39" t="n"/>
      <c r="M6" s="39" t="n"/>
      <c r="N6" s="39" t="n"/>
      <c r="O6" s="39" t="n"/>
      <c r="P6" s="39" t="n"/>
    </row>
    <row r="7" ht="18" customHeight="1">
      <c r="A7" s="39" t="n"/>
      <c r="B7" s="39" t="n"/>
      <c r="C7" s="39" t="n"/>
      <c r="D7" s="39" t="n"/>
      <c r="E7" s="39" t="n"/>
      <c r="F7" s="39" t="n"/>
      <c r="G7" s="39" t="n"/>
      <c r="H7" s="39" t="n"/>
      <c r="I7" s="43" t="n"/>
      <c r="J7" s="39" t="n"/>
      <c r="K7" s="39" t="n"/>
      <c r="L7" s="39" t="n"/>
      <c r="M7" s="39" t="n"/>
      <c r="N7" s="39" t="n"/>
      <c r="O7" s="39" t="n"/>
      <c r="P7" s="39" t="n"/>
    </row>
    <row r="8" ht="18" customHeight="1">
      <c r="A8" s="39" t="n"/>
      <c r="B8" s="39" t="n"/>
      <c r="C8" s="39" t="n"/>
      <c r="D8" s="39" t="n"/>
      <c r="E8" s="39" t="n"/>
      <c r="F8" s="39" t="n"/>
      <c r="G8" s="39" t="n"/>
      <c r="H8" s="39" t="n"/>
      <c r="I8" s="43" t="n"/>
      <c r="J8" s="39" t="n"/>
      <c r="K8" s="39" t="n"/>
      <c r="L8" s="39" t="n"/>
      <c r="M8" s="39" t="n"/>
      <c r="N8" s="39" t="n"/>
      <c r="O8" s="39" t="n"/>
      <c r="P8" s="39" t="n"/>
    </row>
    <row r="9" ht="18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43" t="n"/>
      <c r="J9" s="39" t="n"/>
      <c r="K9" s="39" t="n"/>
      <c r="L9" s="39" t="n"/>
      <c r="M9" s="39" t="n"/>
      <c r="N9" s="39" t="n"/>
      <c r="O9" s="39" t="n"/>
      <c r="P9" s="39" t="n"/>
    </row>
    <row r="10" ht="18" customHeight="1">
      <c r="A10" s="39" t="n"/>
      <c r="B10" s="39" t="n"/>
      <c r="C10" s="39" t="n"/>
      <c r="D10" s="39" t="n"/>
      <c r="E10" s="39" t="n"/>
      <c r="F10" s="39" t="n"/>
      <c r="G10" s="39" t="n"/>
      <c r="H10" s="39" t="n"/>
      <c r="I10" s="43" t="n"/>
      <c r="J10" s="39" t="n"/>
      <c r="K10" s="39" t="n"/>
      <c r="L10" s="39" t="n"/>
      <c r="M10" s="39" t="n"/>
      <c r="N10" s="39" t="n"/>
      <c r="O10" s="39" t="n"/>
      <c r="P10" s="39" t="n"/>
    </row>
    <row r="11" ht="18" customHeight="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43" t="n"/>
      <c r="J11" s="39" t="n"/>
      <c r="K11" s="39" t="n"/>
      <c r="L11" s="39" t="n"/>
      <c r="M11" s="39" t="n"/>
      <c r="N11" s="39" t="n"/>
      <c r="O11" s="39" t="n"/>
      <c r="P11" s="39" t="n"/>
    </row>
    <row r="12" ht="18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43" t="n"/>
      <c r="J12" s="39" t="n"/>
      <c r="K12" s="39" t="n"/>
      <c r="L12" s="39" t="n"/>
      <c r="M12" s="39" t="n"/>
      <c r="N12" s="39" t="n"/>
      <c r="O12" s="39" t="n"/>
      <c r="P12" s="39" t="n"/>
    </row>
    <row r="13" ht="18" customHeight="1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3" t="n"/>
      <c r="J13" s="39" t="n"/>
      <c r="K13" s="39" t="n"/>
      <c r="L13" s="39" t="n"/>
      <c r="M13" s="39" t="n"/>
      <c r="N13" s="39" t="n"/>
      <c r="O13" s="39" t="n"/>
      <c r="P13" s="39" t="n"/>
    </row>
    <row r="14" ht="18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43" t="n"/>
      <c r="J14" s="39" t="n"/>
      <c r="K14" s="39" t="n"/>
      <c r="L14" s="39" t="n"/>
      <c r="M14" s="39" t="n"/>
      <c r="N14" s="39" t="n"/>
      <c r="O14" s="39" t="n"/>
      <c r="P14" s="39" t="n"/>
    </row>
    <row r="15" ht="18" customHeight="1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3" t="n"/>
      <c r="J15" s="39" t="n"/>
      <c r="K15" s="39" t="n"/>
      <c r="L15" s="39" t="n"/>
      <c r="M15" s="39" t="n"/>
      <c r="N15" s="39" t="n"/>
      <c r="O15" s="39" t="n"/>
      <c r="P15" s="39" t="n"/>
    </row>
    <row r="16" ht="18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43" t="n"/>
      <c r="J16" s="39" t="n"/>
      <c r="K16" s="39" t="n"/>
      <c r="L16" s="39" t="n"/>
      <c r="M16" s="39" t="n"/>
      <c r="N16" s="39" t="n"/>
      <c r="O16" s="39" t="n"/>
      <c r="P16" s="39" t="n"/>
    </row>
    <row r="17" ht="18" customHeigh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3" t="n"/>
      <c r="J17" s="39" t="n"/>
      <c r="K17" s="39" t="n"/>
      <c r="L17" s="39" t="n"/>
      <c r="M17" s="39" t="n"/>
      <c r="N17" s="39" t="n"/>
      <c r="O17" s="39" t="n"/>
      <c r="P17" s="39" t="n"/>
    </row>
    <row r="18" ht="18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43" t="n"/>
      <c r="J18" s="39" t="n"/>
      <c r="K18" s="39" t="n"/>
      <c r="L18" s="39" t="n"/>
      <c r="M18" s="39" t="n"/>
      <c r="N18" s="39" t="n"/>
      <c r="O18" s="39" t="n"/>
      <c r="P18" s="39" t="n"/>
    </row>
    <row r="19" ht="18" customHeight="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3" t="n"/>
      <c r="J19" s="39" t="n"/>
      <c r="K19" s="39" t="n"/>
      <c r="L19" s="39" t="n"/>
      <c r="M19" s="39" t="n"/>
      <c r="N19" s="39" t="n"/>
      <c r="O19" s="39" t="n"/>
      <c r="P19" s="39" t="n"/>
    </row>
    <row r="20" ht="18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43" t="n"/>
      <c r="J20" s="39" t="n"/>
      <c r="K20" s="39" t="n"/>
      <c r="L20" s="39" t="n"/>
      <c r="M20" s="39" t="n"/>
      <c r="N20" s="39" t="n"/>
      <c r="O20" s="39" t="n"/>
      <c r="P20" s="39" t="n"/>
    </row>
    <row r="21" ht="18" customHeight="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3" t="n"/>
      <c r="J21" s="39" t="n"/>
      <c r="K21" s="39" t="n"/>
      <c r="L21" s="39" t="n"/>
      <c r="M21" s="39" t="n"/>
      <c r="N21" s="39" t="n"/>
      <c r="O21" s="39" t="n"/>
      <c r="P21" s="39" t="n"/>
    </row>
    <row r="22" ht="18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43" t="n"/>
      <c r="J22" s="39" t="n"/>
      <c r="K22" s="39" t="n"/>
      <c r="L22" s="39" t="n"/>
      <c r="M22" s="39" t="n"/>
      <c r="N22" s="39" t="n"/>
      <c r="O22" s="39" t="n"/>
      <c r="P22" s="39" t="n"/>
    </row>
    <row r="23" ht="18" customHeight="1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3" t="n"/>
      <c r="J23" s="39" t="n"/>
      <c r="K23" s="39" t="n"/>
      <c r="L23" s="39" t="n"/>
      <c r="M23" s="39" t="n"/>
      <c r="N23" s="39" t="n"/>
      <c r="O23" s="39" t="n"/>
      <c r="P23" s="39" t="n"/>
    </row>
    <row r="24" ht="18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43" t="n"/>
      <c r="J24" s="39" t="n"/>
      <c r="K24" s="39" t="n"/>
      <c r="L24" s="39" t="n"/>
      <c r="M24" s="39" t="n"/>
      <c r="N24" s="39" t="n"/>
      <c r="O24" s="39" t="n"/>
      <c r="P24" s="39" t="n"/>
    </row>
    <row r="25" ht="18" customHeight="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3" t="n"/>
      <c r="J25" s="39" t="n"/>
      <c r="K25" s="39" t="n"/>
      <c r="L25" s="39" t="n"/>
      <c r="M25" s="39" t="n"/>
      <c r="N25" s="39" t="n"/>
      <c r="O25" s="39" t="n"/>
      <c r="P25" s="39" t="n"/>
    </row>
    <row r="26" ht="18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43" t="n"/>
      <c r="J26" s="39" t="n"/>
      <c r="K26" s="39" t="n"/>
      <c r="L26" s="39" t="n"/>
      <c r="M26" s="39" t="n"/>
      <c r="N26" s="39" t="n"/>
      <c r="O26" s="39" t="n"/>
      <c r="P26" s="39" t="n"/>
    </row>
    <row r="27" ht="18" customHeight="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3" t="n"/>
      <c r="J27" s="39" t="n"/>
      <c r="K27" s="39" t="n"/>
      <c r="L27" s="39" t="n"/>
      <c r="M27" s="39" t="n"/>
      <c r="N27" s="39" t="n"/>
      <c r="O27" s="39" t="n"/>
      <c r="P27" s="39" t="n"/>
    </row>
    <row r="28" ht="18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43" t="n"/>
      <c r="J28" s="39" t="n"/>
      <c r="K28" s="39" t="n"/>
      <c r="L28" s="39" t="n"/>
      <c r="M28" s="39" t="n"/>
      <c r="N28" s="39" t="n"/>
      <c r="O28" s="39" t="n"/>
      <c r="P28" s="39" t="n"/>
    </row>
    <row r="29" ht="18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3" t="n"/>
      <c r="J29" s="39" t="n"/>
      <c r="K29" s="39" t="n"/>
      <c r="L29" s="39" t="n"/>
      <c r="M29" s="39" t="n"/>
      <c r="N29" s="39" t="n"/>
      <c r="O29" s="39" t="n"/>
      <c r="P29" s="39" t="n"/>
    </row>
    <row r="30" ht="18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43" t="n"/>
      <c r="J30" s="39" t="n"/>
      <c r="K30" s="39" t="n"/>
      <c r="L30" s="39" t="n"/>
      <c r="M30" s="39" t="n"/>
      <c r="N30" s="39" t="n"/>
      <c r="O30" s="39" t="n"/>
      <c r="P30" s="39" t="n"/>
    </row>
    <row r="31" ht="18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3" t="n"/>
      <c r="J31" s="39" t="n"/>
      <c r="K31" s="39" t="n"/>
      <c r="L31" s="39" t="n"/>
      <c r="M31" s="39" t="n"/>
      <c r="N31" s="39" t="n"/>
      <c r="O31" s="39" t="n"/>
      <c r="P31" s="39" t="n"/>
    </row>
    <row r="32" ht="18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43" t="n"/>
      <c r="J32" s="39" t="n"/>
      <c r="K32" s="39" t="n"/>
      <c r="L32" s="39" t="n"/>
      <c r="M32" s="39" t="n"/>
      <c r="N32" s="39" t="n"/>
      <c r="O32" s="39" t="n"/>
      <c r="P32" s="39" t="n"/>
    </row>
    <row r="33" ht="18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3" t="n"/>
      <c r="J33" s="39" t="n"/>
      <c r="K33" s="39" t="n"/>
      <c r="L33" s="39" t="n"/>
      <c r="M33" s="39" t="n"/>
      <c r="N33" s="39" t="n"/>
      <c r="O33" s="39" t="n"/>
      <c r="P33" s="39" t="n"/>
    </row>
    <row r="34" ht="18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43" t="n"/>
      <c r="J34" s="39" t="n"/>
      <c r="K34" s="39" t="n"/>
      <c r="L34" s="39" t="n"/>
      <c r="M34" s="39" t="n"/>
      <c r="N34" s="39" t="n"/>
      <c r="O34" s="39" t="n"/>
      <c r="P34" s="39" t="n"/>
    </row>
    <row r="35" ht="18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3" t="n"/>
      <c r="J35" s="39" t="n"/>
      <c r="K35" s="39" t="n"/>
      <c r="L35" s="39" t="n"/>
      <c r="M35" s="39" t="n"/>
      <c r="N35" s="39" t="n"/>
      <c r="O35" s="39" t="n"/>
      <c r="P35" s="39" t="n"/>
    </row>
    <row r="36" ht="18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43" t="n"/>
      <c r="J36" s="39" t="n"/>
      <c r="K36" s="39" t="n"/>
      <c r="L36" s="39" t="n"/>
      <c r="M36" s="39" t="n"/>
      <c r="N36" s="39" t="n"/>
      <c r="O36" s="39" t="n"/>
      <c r="P36" s="39" t="n"/>
    </row>
    <row r="37" ht="18" customHeight="1">
      <c r="A37" s="39" t="n"/>
      <c r="B37" s="39" t="n"/>
      <c r="C37" s="39" t="n"/>
      <c r="D37" s="39" t="n"/>
      <c r="E37" s="39" t="n"/>
      <c r="F37" s="39" t="n"/>
      <c r="G37" s="39" t="n"/>
      <c r="H37" s="39" t="n"/>
      <c r="I37" s="43" t="n"/>
      <c r="J37" s="39" t="n"/>
      <c r="K37" s="39" t="n"/>
      <c r="L37" s="39" t="n"/>
      <c r="M37" s="39" t="n"/>
      <c r="N37" s="39" t="n"/>
      <c r="O37" s="39" t="n"/>
      <c r="P37" s="39" t="n"/>
    </row>
    <row r="38" ht="18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43" t="n"/>
      <c r="J38" s="39" t="n"/>
      <c r="K38" s="39" t="n"/>
      <c r="L38" s="39" t="n"/>
      <c r="M38" s="39" t="n"/>
      <c r="N38" s="39" t="n"/>
      <c r="O38" s="39" t="n"/>
      <c r="P38" s="39" t="n"/>
    </row>
    <row r="39" ht="18" customHeight="1">
      <c r="A39" s="39" t="n"/>
      <c r="B39" s="39" t="n"/>
      <c r="C39" s="39" t="n"/>
      <c r="D39" s="39" t="n"/>
      <c r="E39" s="39" t="n"/>
      <c r="F39" s="39" t="n"/>
      <c r="G39" s="39" t="n"/>
      <c r="H39" s="39" t="n"/>
      <c r="I39" s="43" t="n"/>
      <c r="J39" s="39" t="n"/>
      <c r="K39" s="39" t="n"/>
      <c r="L39" s="39" t="n"/>
      <c r="M39" s="39" t="n"/>
      <c r="N39" s="39" t="n"/>
      <c r="O39" s="39" t="n"/>
      <c r="P39" s="39" t="n"/>
    </row>
    <row r="40" ht="18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43" t="n"/>
      <c r="J40" s="39" t="n"/>
      <c r="K40" s="39" t="n"/>
      <c r="L40" s="39" t="n"/>
      <c r="M40" s="39" t="n"/>
      <c r="N40" s="39" t="n"/>
      <c r="O40" s="39" t="n"/>
      <c r="P40" s="39" t="n"/>
    </row>
    <row r="41" ht="18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43" t="n"/>
      <c r="J41" s="39" t="n"/>
      <c r="K41" s="39" t="n"/>
      <c r="L41" s="39" t="n"/>
      <c r="M41" s="39" t="n"/>
      <c r="N41" s="39" t="n"/>
      <c r="O41" s="39" t="n"/>
      <c r="P41" s="39" t="n"/>
    </row>
    <row r="42" ht="18" customHeight="1">
      <c r="A42" s="39" t="n"/>
      <c r="B42" s="39" t="n"/>
      <c r="C42" s="39" t="n"/>
      <c r="D42" s="39" t="n"/>
      <c r="E42" s="39" t="n"/>
      <c r="F42" s="39" t="n"/>
      <c r="G42" s="39" t="n"/>
      <c r="H42" s="39" t="n"/>
      <c r="I42" s="43" t="n"/>
      <c r="J42" s="39" t="n"/>
      <c r="K42" s="39" t="n"/>
      <c r="L42" s="39" t="n"/>
      <c r="M42" s="39" t="n"/>
      <c r="N42" s="39" t="n"/>
      <c r="O42" s="39" t="n"/>
      <c r="P42" s="39" t="n"/>
    </row>
    <row r="43" ht="18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43" t="n"/>
      <c r="J43" s="39" t="n"/>
      <c r="K43" s="39" t="n"/>
      <c r="L43" s="39" t="n"/>
      <c r="M43" s="39" t="n"/>
      <c r="N43" s="39" t="n"/>
      <c r="O43" s="39" t="n"/>
      <c r="P43" s="39" t="n"/>
    </row>
    <row r="44" ht="18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43" t="n"/>
      <c r="J44" s="39" t="n"/>
      <c r="K44" s="39" t="n"/>
      <c r="L44" s="39" t="n"/>
      <c r="M44" s="39" t="n"/>
      <c r="N44" s="39" t="n"/>
      <c r="O44" s="39" t="n"/>
      <c r="P44" s="39" t="n"/>
    </row>
    <row r="45" ht="18" customHeight="1">
      <c r="A45" s="39" t="n"/>
      <c r="B45" s="39" t="n"/>
      <c r="C45" s="39" t="n"/>
      <c r="D45" s="39" t="n"/>
      <c r="E45" s="39" t="n"/>
      <c r="F45" s="39" t="n"/>
      <c r="G45" s="39" t="n"/>
      <c r="H45" s="39" t="n"/>
      <c r="I45" s="43" t="n"/>
      <c r="J45" s="39" t="n"/>
      <c r="K45" s="39" t="n"/>
      <c r="L45" s="39" t="n"/>
      <c r="M45" s="39" t="n"/>
      <c r="N45" s="39" t="n"/>
      <c r="O45" s="39" t="n"/>
      <c r="P45" s="39" t="n"/>
    </row>
    <row r="46" ht="18" customHeight="1">
      <c r="A46" s="39" t="n"/>
      <c r="B46" s="39" t="n"/>
      <c r="C46" s="39" t="n"/>
      <c r="D46" s="39" t="n"/>
      <c r="E46" s="39" t="n"/>
      <c r="F46" s="39" t="n"/>
      <c r="G46" s="39" t="n"/>
      <c r="H46" s="39" t="n"/>
      <c r="I46" s="43" t="n"/>
      <c r="J46" s="39" t="n"/>
      <c r="K46" s="39" t="n"/>
      <c r="L46" s="39" t="n"/>
      <c r="M46" s="39" t="n"/>
      <c r="N46" s="39" t="n"/>
      <c r="O46" s="39" t="n"/>
      <c r="P46" s="39" t="n"/>
    </row>
    <row r="47" ht="18" customHeight="1">
      <c r="A47" s="39" t="n"/>
      <c r="B47" s="39" t="n"/>
      <c r="C47" s="39" t="n"/>
      <c r="D47" s="39" t="n"/>
      <c r="E47" s="39" t="n"/>
      <c r="F47" s="39" t="n"/>
      <c r="G47" s="39" t="n"/>
      <c r="H47" s="39" t="n"/>
      <c r="I47" s="43" t="n"/>
      <c r="J47" s="39" t="n"/>
      <c r="K47" s="39" t="n"/>
      <c r="L47" s="39" t="n"/>
      <c r="M47" s="39" t="n"/>
      <c r="N47" s="39" t="n"/>
      <c r="O47" s="39" t="n"/>
      <c r="P47" s="39" t="n"/>
    </row>
    <row r="48" ht="18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43" t="n"/>
      <c r="J48" s="39" t="n"/>
      <c r="K48" s="39" t="n"/>
      <c r="L48" s="39" t="n"/>
      <c r="M48" s="39" t="n"/>
      <c r="N48" s="39" t="n"/>
      <c r="O48" s="39" t="n"/>
      <c r="P48" s="39" t="n"/>
    </row>
    <row r="49" ht="18" customHeight="1">
      <c r="A49" s="39" t="n"/>
      <c r="B49" s="39" t="n"/>
      <c r="C49" s="39" t="n"/>
      <c r="D49" s="39" t="n"/>
      <c r="E49" s="39" t="n"/>
      <c r="F49" s="39" t="n"/>
      <c r="G49" s="39" t="n"/>
      <c r="H49" s="39" t="n"/>
      <c r="I49" s="43" t="n"/>
      <c r="J49" s="39" t="n"/>
      <c r="K49" s="39" t="n"/>
      <c r="L49" s="39" t="n"/>
      <c r="M49" s="39" t="n"/>
      <c r="N49" s="39" t="n"/>
      <c r="O49" s="39" t="n"/>
      <c r="P49" s="39" t="n"/>
    </row>
    <row r="50" ht="18" customHeight="1">
      <c r="A50" s="39" t="n"/>
      <c r="B50" s="39" t="n"/>
      <c r="C50" s="39" t="n"/>
      <c r="D50" s="39" t="n"/>
      <c r="E50" s="39" t="n"/>
      <c r="F50" s="39" t="n"/>
      <c r="G50" s="39" t="n"/>
      <c r="H50" s="39" t="n"/>
      <c r="I50" s="43" t="n"/>
      <c r="J50" s="39" t="n"/>
      <c r="K50" s="39" t="n"/>
      <c r="L50" s="39" t="n"/>
      <c r="M50" s="39" t="n"/>
      <c r="N50" s="39" t="n"/>
      <c r="O50" s="39" t="n"/>
      <c r="P50" s="39" t="n"/>
    </row>
    <row r="51" ht="18" customHeight="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43" t="n"/>
      <c r="J51" s="39" t="n"/>
      <c r="K51" s="39" t="n"/>
      <c r="L51" s="39" t="n"/>
      <c r="M51" s="39" t="n"/>
      <c r="N51" s="39" t="n"/>
      <c r="O51" s="39" t="n"/>
      <c r="P51" s="39" t="n"/>
    </row>
    <row r="52" ht="18" customHeight="1">
      <c r="A52" s="39" t="n"/>
      <c r="B52" s="39" t="n"/>
      <c r="C52" s="39" t="n"/>
      <c r="D52" s="39" t="n"/>
      <c r="E52" s="39" t="n"/>
      <c r="F52" s="39" t="n"/>
      <c r="G52" s="39" t="n"/>
      <c r="H52" s="39" t="n"/>
      <c r="I52" s="43" t="n"/>
      <c r="J52" s="39" t="n"/>
      <c r="K52" s="39" t="n"/>
      <c r="L52" s="39" t="n"/>
      <c r="M52" s="39" t="n"/>
      <c r="N52" s="39" t="n"/>
      <c r="O52" s="39" t="n"/>
      <c r="P52" s="39" t="n"/>
    </row>
    <row r="53" ht="18" customHeight="1">
      <c r="A53" s="39" t="n"/>
      <c r="B53" s="39" t="n"/>
      <c r="C53" s="39" t="n"/>
      <c r="D53" s="39" t="n"/>
      <c r="E53" s="39" t="n"/>
      <c r="F53" s="39" t="n"/>
      <c r="G53" s="39" t="n"/>
      <c r="H53" s="39" t="n"/>
      <c r="I53" s="43" t="n"/>
      <c r="J53" s="39" t="n"/>
      <c r="K53" s="39" t="n"/>
      <c r="L53" s="39" t="n"/>
      <c r="M53" s="39" t="n"/>
      <c r="N53" s="39" t="n"/>
      <c r="O53" s="39" t="n"/>
      <c r="P53" s="39" t="n"/>
    </row>
    <row r="54" ht="18" customHeight="1">
      <c r="A54" s="39" t="n"/>
      <c r="B54" s="39" t="n"/>
      <c r="C54" s="39" t="n"/>
      <c r="D54" s="39" t="n"/>
      <c r="E54" s="39" t="n"/>
      <c r="F54" s="39" t="n"/>
      <c r="G54" s="39" t="n"/>
      <c r="H54" s="39" t="n"/>
      <c r="I54" s="43" t="n"/>
      <c r="J54" s="39" t="n"/>
      <c r="K54" s="39" t="n"/>
      <c r="L54" s="39" t="n"/>
      <c r="M54" s="39" t="n"/>
      <c r="N54" s="39" t="n"/>
      <c r="O54" s="39" t="n"/>
      <c r="P54" s="39" t="n"/>
    </row>
    <row r="55" ht="18" customHeight="1">
      <c r="A55" s="39" t="n"/>
      <c r="B55" s="39" t="n"/>
      <c r="C55" s="39" t="n"/>
      <c r="D55" s="39" t="n"/>
      <c r="E55" s="39" t="n"/>
      <c r="F55" s="39" t="n"/>
      <c r="G55" s="39" t="n"/>
      <c r="H55" s="39" t="n"/>
      <c r="I55" s="43" t="n"/>
      <c r="J55" s="39" t="n"/>
      <c r="K55" s="39" t="n"/>
      <c r="L55" s="39" t="n"/>
      <c r="M55" s="39" t="n"/>
      <c r="N55" s="39" t="n"/>
      <c r="O55" s="39" t="n"/>
      <c r="P55" s="39" t="n"/>
    </row>
    <row r="56" ht="18" customHeight="1">
      <c r="A56" s="39" t="n"/>
      <c r="B56" s="39" t="n"/>
      <c r="C56" s="39" t="n"/>
      <c r="D56" s="39" t="n"/>
      <c r="E56" s="39" t="n"/>
      <c r="F56" s="39" t="n"/>
      <c r="G56" s="39" t="n"/>
      <c r="H56" s="39" t="n"/>
      <c r="I56" s="43" t="n"/>
      <c r="J56" s="39" t="n"/>
      <c r="K56" s="39" t="n"/>
      <c r="L56" s="39" t="n"/>
      <c r="M56" s="39" t="n"/>
      <c r="N56" s="39" t="n"/>
      <c r="O56" s="39" t="n"/>
      <c r="P56" s="39" t="n"/>
    </row>
    <row r="57" ht="18" customHeight="1">
      <c r="A57" s="39" t="n"/>
      <c r="B57" s="39" t="n"/>
      <c r="C57" s="39" t="n"/>
      <c r="D57" s="39" t="n"/>
      <c r="E57" s="39" t="n"/>
      <c r="F57" s="39" t="n"/>
      <c r="G57" s="39" t="n"/>
      <c r="H57" s="39" t="n"/>
      <c r="I57" s="43" t="n"/>
      <c r="J57" s="39" t="n"/>
      <c r="K57" s="39" t="n"/>
      <c r="L57" s="39" t="n"/>
      <c r="M57" s="39" t="n"/>
      <c r="N57" s="39" t="n"/>
      <c r="O57" s="39" t="n"/>
      <c r="P57" s="39" t="n"/>
    </row>
    <row r="58" ht="18" customHeight="1">
      <c r="A58" s="39" t="n"/>
      <c r="B58" s="39" t="n"/>
      <c r="C58" s="39" t="n"/>
      <c r="D58" s="39" t="n"/>
      <c r="E58" s="39" t="n"/>
      <c r="F58" s="39" t="n"/>
      <c r="G58" s="39" t="n"/>
      <c r="H58" s="39" t="n"/>
      <c r="I58" s="43" t="n"/>
      <c r="J58" s="39" t="n"/>
      <c r="K58" s="39" t="n"/>
      <c r="L58" s="39" t="n"/>
      <c r="M58" s="39" t="n"/>
      <c r="N58" s="39" t="n"/>
      <c r="O58" s="39" t="n"/>
      <c r="P58" s="39" t="n"/>
    </row>
    <row r="59" ht="18" customHeight="1">
      <c r="A59" s="39" t="n"/>
      <c r="B59" s="39" t="n"/>
      <c r="C59" s="39" t="n"/>
      <c r="D59" s="39" t="n"/>
      <c r="E59" s="39" t="n"/>
      <c r="F59" s="39" t="n"/>
      <c r="G59" s="39" t="n"/>
      <c r="H59" s="39" t="n"/>
      <c r="I59" s="43" t="n"/>
      <c r="J59" s="39" t="n"/>
      <c r="K59" s="39" t="n"/>
      <c r="L59" s="39" t="n"/>
      <c r="M59" s="39" t="n"/>
      <c r="N59" s="39" t="n"/>
      <c r="O59" s="39" t="n"/>
      <c r="P59" s="39" t="n"/>
    </row>
    <row r="60" ht="18" customHeight="1">
      <c r="A60" s="39" t="n"/>
      <c r="B60" s="39" t="n"/>
      <c r="C60" s="39" t="n"/>
      <c r="D60" s="39" t="n"/>
      <c r="E60" s="39" t="n"/>
      <c r="F60" s="39" t="n"/>
      <c r="G60" s="39" t="n"/>
      <c r="H60" s="39" t="n"/>
      <c r="I60" s="43" t="n"/>
      <c r="J60" s="39" t="n"/>
      <c r="K60" s="39" t="n"/>
      <c r="L60" s="39" t="n"/>
      <c r="M60" s="39" t="n"/>
      <c r="N60" s="39" t="n"/>
      <c r="O60" s="39" t="n"/>
      <c r="P60" s="39" t="n"/>
    </row>
    <row r="61" ht="18" customHeight="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43" t="n"/>
      <c r="J61" s="39" t="n"/>
      <c r="K61" s="39" t="n"/>
      <c r="L61" s="39" t="n"/>
      <c r="M61" s="39" t="n"/>
      <c r="N61" s="39" t="n"/>
      <c r="O61" s="39" t="n"/>
      <c r="P61" s="39" t="n"/>
    </row>
    <row r="62" ht="18" customHeight="1">
      <c r="A62" s="39" t="n"/>
      <c r="B62" s="39" t="n"/>
      <c r="C62" s="39" t="n"/>
      <c r="D62" s="39" t="n"/>
      <c r="E62" s="39" t="n"/>
      <c r="F62" s="39" t="n"/>
      <c r="G62" s="39" t="n"/>
      <c r="H62" s="39" t="n"/>
      <c r="I62" s="43" t="n"/>
      <c r="J62" s="39" t="n"/>
      <c r="K62" s="39" t="n"/>
      <c r="L62" s="39" t="n"/>
      <c r="M62" s="39" t="n"/>
      <c r="N62" s="39" t="n"/>
      <c r="O62" s="39" t="n"/>
      <c r="P62" s="39" t="n"/>
    </row>
    <row r="63" ht="18" customHeight="1">
      <c r="A63" s="39" t="n"/>
      <c r="B63" s="39" t="n"/>
      <c r="C63" s="39" t="n"/>
      <c r="D63" s="39" t="n"/>
      <c r="E63" s="39" t="n"/>
      <c r="F63" s="39" t="n"/>
      <c r="G63" s="39" t="n"/>
      <c r="H63" s="39" t="n"/>
      <c r="I63" s="43" t="n"/>
      <c r="J63" s="39" t="n"/>
      <c r="K63" s="39" t="n"/>
      <c r="L63" s="39" t="n"/>
      <c r="M63" s="39" t="n"/>
      <c r="N63" s="39" t="n"/>
      <c r="O63" s="39" t="n"/>
      <c r="P63" s="39" t="n"/>
    </row>
    <row r="64" ht="18" customHeight="1">
      <c r="A64" s="39" t="n"/>
      <c r="B64" s="39" t="n"/>
      <c r="C64" s="39" t="n"/>
      <c r="D64" s="39" t="n"/>
      <c r="E64" s="39" t="n"/>
      <c r="F64" s="39" t="n"/>
      <c r="G64" s="39" t="n"/>
      <c r="H64" s="39" t="n"/>
      <c r="I64" s="43" t="n"/>
      <c r="J64" s="39" t="n"/>
      <c r="K64" s="39" t="n"/>
      <c r="L64" s="39" t="n"/>
      <c r="M64" s="39" t="n"/>
      <c r="N64" s="39" t="n"/>
      <c r="O64" s="39" t="n"/>
      <c r="P64" s="39" t="n"/>
    </row>
    <row r="65" ht="18" customHeight="1">
      <c r="A65" s="39" t="n"/>
      <c r="B65" s="39" t="n"/>
      <c r="C65" s="39" t="n"/>
      <c r="D65" s="39" t="n"/>
      <c r="E65" s="39" t="n"/>
      <c r="F65" s="39" t="n"/>
      <c r="G65" s="39" t="n"/>
      <c r="H65" s="39" t="n"/>
      <c r="I65" s="43" t="n"/>
      <c r="J65" s="39" t="n"/>
      <c r="K65" s="39" t="n"/>
      <c r="L65" s="39" t="n"/>
      <c r="M65" s="39" t="n"/>
      <c r="N65" s="39" t="n"/>
      <c r="O65" s="39" t="n"/>
      <c r="P65" s="39" t="n"/>
    </row>
    <row r="66" ht="18" customHeigh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43" t="n"/>
      <c r="J66" s="39" t="n"/>
      <c r="K66" s="39" t="n"/>
      <c r="L66" s="39" t="n"/>
      <c r="M66" s="39" t="n"/>
      <c r="N66" s="39" t="n"/>
      <c r="O66" s="39" t="n"/>
      <c r="P66" s="39" t="n"/>
    </row>
    <row r="67" ht="18" customHeigh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43" t="n"/>
      <c r="J67" s="39" t="n"/>
      <c r="K67" s="39" t="n"/>
      <c r="L67" s="39" t="n"/>
      <c r="M67" s="39" t="n"/>
      <c r="N67" s="39" t="n"/>
      <c r="O67" s="39" t="n"/>
      <c r="P67" s="39" t="n"/>
    </row>
    <row r="68" ht="18" customHeigh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43" t="n"/>
      <c r="J68" s="39" t="n"/>
      <c r="K68" s="39" t="n"/>
      <c r="L68" s="39" t="n"/>
      <c r="M68" s="39" t="n"/>
      <c r="N68" s="39" t="n"/>
      <c r="O68" s="39" t="n"/>
      <c r="P68" s="39" t="n"/>
    </row>
    <row r="69" ht="18" customHeigh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43" t="n"/>
      <c r="J69" s="39" t="n"/>
      <c r="K69" s="39" t="n"/>
      <c r="L69" s="39" t="n"/>
      <c r="M69" s="39" t="n"/>
      <c r="N69" s="39" t="n"/>
      <c r="O69" s="39" t="n"/>
      <c r="P69" s="39" t="n"/>
    </row>
    <row r="70" ht="18" customHeight="1">
      <c r="A70" s="39" t="n"/>
      <c r="B70" s="39" t="n"/>
      <c r="C70" s="39" t="n"/>
      <c r="D70" s="39" t="n"/>
      <c r="E70" s="39" t="n"/>
      <c r="F70" s="39" t="n"/>
      <c r="G70" s="39" t="n"/>
      <c r="H70" s="39" t="n"/>
      <c r="I70" s="43" t="n"/>
      <c r="J70" s="39" t="n"/>
      <c r="K70" s="39" t="n"/>
      <c r="L70" s="39" t="n"/>
      <c r="M70" s="39" t="n"/>
      <c r="N70" s="39" t="n"/>
      <c r="O70" s="39" t="n"/>
      <c r="P70" s="39" t="n"/>
    </row>
    <row r="71" ht="18" customHeight="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43" t="n"/>
      <c r="J71" s="39" t="n"/>
      <c r="K71" s="39" t="n"/>
      <c r="L71" s="39" t="n"/>
      <c r="M71" s="39" t="n"/>
      <c r="N71" s="39" t="n"/>
      <c r="O71" s="39" t="n"/>
      <c r="P71" s="39" t="n"/>
    </row>
    <row r="72" ht="18" customHeight="1">
      <c r="A72" s="39" t="n"/>
      <c r="B72" s="39" t="n"/>
      <c r="C72" s="39" t="n"/>
      <c r="D72" s="39" t="n"/>
      <c r="E72" s="39" t="n"/>
      <c r="F72" s="39" t="n"/>
      <c r="G72" s="39" t="n"/>
      <c r="H72" s="39" t="n"/>
      <c r="I72" s="43" t="n"/>
      <c r="J72" s="39" t="n"/>
      <c r="K72" s="39" t="n"/>
      <c r="L72" s="39" t="n"/>
      <c r="M72" s="39" t="n"/>
      <c r="N72" s="39" t="n"/>
      <c r="O72" s="39" t="n"/>
      <c r="P72" s="39" t="n"/>
    </row>
    <row r="73" ht="18" customHeight="1">
      <c r="A73" s="39" t="n"/>
      <c r="B73" s="39" t="n"/>
      <c r="C73" s="39" t="n"/>
      <c r="D73" s="39" t="n"/>
      <c r="E73" s="39" t="n"/>
      <c r="F73" s="39" t="n"/>
      <c r="G73" s="39" t="n"/>
      <c r="H73" s="39" t="n"/>
      <c r="I73" s="43" t="n"/>
      <c r="J73" s="39" t="n"/>
      <c r="K73" s="39" t="n"/>
      <c r="L73" s="39" t="n"/>
      <c r="M73" s="39" t="n"/>
      <c r="N73" s="39" t="n"/>
      <c r="O73" s="39" t="n"/>
      <c r="P73" s="39" t="n"/>
    </row>
    <row r="74" ht="18" customHeight="1">
      <c r="A74" s="39" t="n"/>
      <c r="B74" s="39" t="n"/>
      <c r="C74" s="39" t="n"/>
      <c r="D74" s="39" t="n"/>
      <c r="E74" s="39" t="n"/>
      <c r="F74" s="39" t="n"/>
      <c r="G74" s="39" t="n"/>
      <c r="H74" s="39" t="n"/>
      <c r="I74" s="43" t="n"/>
      <c r="J74" s="39" t="n"/>
      <c r="K74" s="39" t="n"/>
      <c r="L74" s="39" t="n"/>
      <c r="M74" s="39" t="n"/>
      <c r="N74" s="39" t="n"/>
      <c r="O74" s="39" t="n"/>
      <c r="P74" s="39" t="n"/>
    </row>
    <row r="75" ht="18" customHeight="1">
      <c r="A75" s="39" t="n"/>
      <c r="B75" s="39" t="n"/>
      <c r="C75" s="39" t="n"/>
      <c r="D75" s="39" t="n"/>
      <c r="E75" s="39" t="n"/>
      <c r="F75" s="39" t="n"/>
      <c r="G75" s="39" t="n"/>
      <c r="H75" s="39" t="n"/>
      <c r="I75" s="43" t="n"/>
      <c r="J75" s="39" t="n"/>
      <c r="K75" s="39" t="n"/>
      <c r="L75" s="39" t="n"/>
      <c r="M75" s="39" t="n"/>
      <c r="N75" s="39" t="n"/>
      <c r="O75" s="39" t="n"/>
      <c r="P75" s="39" t="n"/>
    </row>
    <row r="76" ht="18" customHeight="1">
      <c r="A76" s="39" t="n"/>
      <c r="B76" s="39" t="n"/>
      <c r="C76" s="39" t="n"/>
      <c r="D76" s="39" t="n"/>
      <c r="E76" s="39" t="n"/>
      <c r="F76" s="39" t="n"/>
      <c r="G76" s="39" t="n"/>
      <c r="H76" s="39" t="n"/>
      <c r="I76" s="43" t="n"/>
      <c r="J76" s="39" t="n"/>
      <c r="K76" s="39" t="n"/>
      <c r="L76" s="39" t="n"/>
      <c r="M76" s="39" t="n"/>
      <c r="N76" s="39" t="n"/>
      <c r="O76" s="39" t="n"/>
      <c r="P76" s="39" t="n"/>
    </row>
    <row r="77" ht="18" customHeight="1">
      <c r="A77" s="39" t="n"/>
      <c r="B77" s="39" t="n"/>
      <c r="C77" s="39" t="n"/>
      <c r="D77" s="39" t="n"/>
      <c r="E77" s="39" t="n"/>
      <c r="F77" s="39" t="n"/>
      <c r="G77" s="39" t="n"/>
      <c r="H77" s="39" t="n"/>
      <c r="I77" s="43" t="n"/>
      <c r="J77" s="39" t="n"/>
      <c r="K77" s="39" t="n"/>
      <c r="L77" s="39" t="n"/>
      <c r="M77" s="39" t="n"/>
      <c r="N77" s="39" t="n"/>
      <c r="O77" s="39" t="n"/>
      <c r="P77" s="39" t="n"/>
    </row>
    <row r="78" ht="18" customHeight="1">
      <c r="A78" s="39" t="n"/>
      <c r="B78" s="39" t="n"/>
      <c r="C78" s="39" t="n"/>
      <c r="D78" s="39" t="n"/>
      <c r="E78" s="39" t="n"/>
      <c r="F78" s="39" t="n"/>
      <c r="G78" s="39" t="n"/>
      <c r="H78" s="39" t="n"/>
      <c r="I78" s="43" t="n"/>
      <c r="J78" s="39" t="n"/>
      <c r="K78" s="39" t="n"/>
      <c r="L78" s="39" t="n"/>
      <c r="M78" s="39" t="n"/>
      <c r="N78" s="39" t="n"/>
      <c r="O78" s="39" t="n"/>
      <c r="P78" s="39" t="n"/>
    </row>
    <row r="79" ht="18" customHeight="1">
      <c r="A79" s="39" t="n"/>
      <c r="B79" s="39" t="n"/>
      <c r="C79" s="39" t="n"/>
      <c r="D79" s="39" t="n"/>
      <c r="E79" s="39" t="n"/>
      <c r="F79" s="39" t="n"/>
      <c r="G79" s="39" t="n"/>
      <c r="H79" s="39" t="n"/>
      <c r="I79" s="43" t="n"/>
      <c r="J79" s="39" t="n"/>
      <c r="K79" s="39" t="n"/>
      <c r="L79" s="39" t="n"/>
      <c r="M79" s="39" t="n"/>
      <c r="N79" s="39" t="n"/>
      <c r="O79" s="39" t="n"/>
      <c r="P79" s="39" t="n"/>
    </row>
    <row r="80" ht="18" customHeight="1">
      <c r="A80" s="39" t="n"/>
      <c r="B80" s="39" t="n"/>
      <c r="C80" s="39" t="n"/>
      <c r="D80" s="39" t="n"/>
      <c r="E80" s="39" t="n"/>
      <c r="F80" s="39" t="n"/>
      <c r="G80" s="39" t="n"/>
      <c r="H80" s="39" t="n"/>
      <c r="I80" s="43" t="n"/>
      <c r="J80" s="39" t="n"/>
      <c r="K80" s="39" t="n"/>
      <c r="L80" s="39" t="n"/>
      <c r="M80" s="39" t="n"/>
      <c r="N80" s="39" t="n"/>
      <c r="O80" s="39" t="n"/>
      <c r="P80" s="39" t="n"/>
    </row>
    <row r="81" ht="18" customHeight="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43" t="n"/>
      <c r="J81" s="39" t="n"/>
      <c r="K81" s="39" t="n"/>
      <c r="L81" s="39" t="n"/>
      <c r="M81" s="39" t="n"/>
      <c r="N81" s="39" t="n"/>
      <c r="O81" s="39" t="n"/>
      <c r="P81" s="39" t="n"/>
    </row>
    <row r="82" ht="18" customHeight="1">
      <c r="A82" s="39" t="n"/>
      <c r="B82" s="39" t="n"/>
      <c r="C82" s="39" t="n"/>
      <c r="D82" s="39" t="n"/>
      <c r="E82" s="39" t="n"/>
      <c r="F82" s="39" t="n"/>
      <c r="G82" s="39" t="n"/>
      <c r="H82" s="39" t="n"/>
      <c r="I82" s="43" t="n"/>
      <c r="J82" s="39" t="n"/>
      <c r="K82" s="39" t="n"/>
      <c r="L82" s="39" t="n"/>
      <c r="M82" s="39" t="n"/>
      <c r="N82" s="39" t="n"/>
      <c r="O82" s="39" t="n"/>
      <c r="P82" s="39" t="n"/>
    </row>
    <row r="83" ht="18" customHeight="1">
      <c r="A83" s="39" t="n"/>
      <c r="B83" s="39" t="n"/>
      <c r="C83" s="39" t="n"/>
      <c r="D83" s="39" t="n"/>
      <c r="E83" s="39" t="n"/>
      <c r="F83" s="39" t="n"/>
      <c r="G83" s="39" t="n"/>
      <c r="H83" s="39" t="n"/>
      <c r="I83" s="43" t="n"/>
      <c r="J83" s="39" t="n"/>
      <c r="K83" s="39" t="n"/>
      <c r="L83" s="39" t="n"/>
      <c r="M83" s="39" t="n"/>
      <c r="N83" s="39" t="n"/>
      <c r="O83" s="39" t="n"/>
      <c r="P83" s="39" t="n"/>
    </row>
    <row r="84" ht="18" customHeight="1">
      <c r="A84" s="39" t="n"/>
      <c r="B84" s="39" t="n"/>
      <c r="C84" s="39" t="n"/>
      <c r="D84" s="39" t="n"/>
      <c r="E84" s="39" t="n"/>
      <c r="F84" s="39" t="n"/>
      <c r="G84" s="39" t="n"/>
      <c r="H84" s="39" t="n"/>
      <c r="I84" s="43" t="n"/>
      <c r="J84" s="39" t="n"/>
      <c r="K84" s="39" t="n"/>
      <c r="L84" s="39" t="n"/>
      <c r="M84" s="39" t="n"/>
      <c r="N84" s="39" t="n"/>
      <c r="O84" s="39" t="n"/>
      <c r="P84" s="39" t="n"/>
    </row>
    <row r="85" ht="18" customHeight="1">
      <c r="A85" s="39" t="n"/>
      <c r="B85" s="39" t="n"/>
      <c r="C85" s="39" t="n"/>
      <c r="D85" s="39" t="n"/>
      <c r="E85" s="39" t="n"/>
      <c r="F85" s="39" t="n"/>
      <c r="G85" s="39" t="n"/>
      <c r="H85" s="39" t="n"/>
      <c r="I85" s="43" t="n"/>
      <c r="J85" s="39" t="n"/>
      <c r="K85" s="39" t="n"/>
      <c r="L85" s="39" t="n"/>
      <c r="M85" s="39" t="n"/>
      <c r="N85" s="39" t="n"/>
      <c r="O85" s="39" t="n"/>
      <c r="P85" s="39" t="n"/>
    </row>
    <row r="86" ht="18" customHeight="1">
      <c r="A86" s="39" t="n"/>
      <c r="B86" s="39" t="n"/>
      <c r="C86" s="39" t="n"/>
      <c r="D86" s="39" t="n"/>
      <c r="E86" s="39" t="n"/>
      <c r="F86" s="39" t="n"/>
      <c r="G86" s="39" t="n"/>
      <c r="H86" s="39" t="n"/>
      <c r="I86" s="43" t="n"/>
      <c r="J86" s="39" t="n"/>
      <c r="K86" s="39" t="n"/>
      <c r="L86" s="39" t="n"/>
      <c r="M86" s="39" t="n"/>
      <c r="N86" s="39" t="n"/>
      <c r="O86" s="39" t="n"/>
      <c r="P86" s="39" t="n"/>
    </row>
    <row r="87" ht="18" customHeight="1">
      <c r="A87" s="39" t="n"/>
      <c r="B87" s="39" t="n"/>
      <c r="C87" s="39" t="n"/>
      <c r="D87" s="39" t="n"/>
      <c r="E87" s="39" t="n"/>
      <c r="F87" s="39" t="n"/>
      <c r="G87" s="39" t="n"/>
      <c r="H87" s="39" t="n"/>
      <c r="I87" s="43" t="n"/>
      <c r="J87" s="39" t="n"/>
      <c r="K87" s="39" t="n"/>
      <c r="L87" s="39" t="n"/>
      <c r="M87" s="39" t="n"/>
      <c r="N87" s="39" t="n"/>
      <c r="O87" s="39" t="n"/>
      <c r="P87" s="39" t="n"/>
    </row>
    <row r="88" ht="18" customHeight="1">
      <c r="A88" s="39" t="n"/>
      <c r="B88" s="39" t="n"/>
      <c r="C88" s="39" t="n"/>
      <c r="D88" s="39" t="n"/>
      <c r="E88" s="39" t="n"/>
      <c r="F88" s="39" t="n"/>
      <c r="G88" s="39" t="n"/>
      <c r="H88" s="39" t="n"/>
      <c r="I88" s="43" t="n"/>
      <c r="J88" s="39" t="n"/>
      <c r="K88" s="39" t="n"/>
      <c r="L88" s="39" t="n"/>
      <c r="M88" s="39" t="n"/>
      <c r="N88" s="39" t="n"/>
      <c r="O88" s="39" t="n"/>
      <c r="P88" s="39" t="n"/>
    </row>
    <row r="89" ht="18" customHeight="1">
      <c r="A89" s="39" t="n"/>
      <c r="B89" s="39" t="n"/>
      <c r="C89" s="39" t="n"/>
      <c r="D89" s="39" t="n"/>
      <c r="E89" s="39" t="n"/>
      <c r="F89" s="39" t="n"/>
      <c r="G89" s="39" t="n"/>
      <c r="H89" s="39" t="n"/>
      <c r="I89" s="43" t="n"/>
      <c r="J89" s="39" t="n"/>
      <c r="K89" s="39" t="n"/>
      <c r="L89" s="39" t="n"/>
      <c r="M89" s="39" t="n"/>
      <c r="N89" s="39" t="n"/>
      <c r="O89" s="39" t="n"/>
      <c r="P89" s="39" t="n"/>
    </row>
    <row r="90" ht="18" customHeight="1">
      <c r="A90" s="39" t="n"/>
      <c r="B90" s="39" t="n"/>
      <c r="C90" s="39" t="n"/>
      <c r="D90" s="39" t="n"/>
      <c r="E90" s="39" t="n"/>
      <c r="F90" s="39" t="n"/>
      <c r="G90" s="39" t="n"/>
      <c r="H90" s="39" t="n"/>
      <c r="I90" s="43" t="n"/>
      <c r="J90" s="39" t="n"/>
      <c r="K90" s="39" t="n"/>
      <c r="L90" s="39" t="n"/>
      <c r="M90" s="39" t="n"/>
      <c r="N90" s="39" t="n"/>
      <c r="O90" s="39" t="n"/>
      <c r="P90" s="39" t="n"/>
    </row>
    <row r="91" ht="18" customHeight="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43" t="n"/>
      <c r="J91" s="39" t="n"/>
      <c r="K91" s="39" t="n"/>
      <c r="L91" s="39" t="n"/>
      <c r="M91" s="39" t="n"/>
      <c r="N91" s="39" t="n"/>
      <c r="O91" s="39" t="n"/>
      <c r="P91" s="39" t="n"/>
    </row>
    <row r="92" ht="18" customHeight="1">
      <c r="A92" s="39" t="n"/>
      <c r="B92" s="39" t="n"/>
      <c r="C92" s="39" t="n"/>
      <c r="D92" s="39" t="n"/>
      <c r="E92" s="39" t="n"/>
      <c r="F92" s="39" t="n"/>
      <c r="G92" s="39" t="n"/>
      <c r="H92" s="39" t="n"/>
      <c r="I92" s="43" t="n"/>
      <c r="J92" s="39" t="n"/>
      <c r="K92" s="39" t="n"/>
      <c r="L92" s="39" t="n"/>
      <c r="M92" s="39" t="n"/>
      <c r="N92" s="39" t="n"/>
      <c r="O92" s="39" t="n"/>
      <c r="P92" s="39" t="n"/>
    </row>
    <row r="93" ht="18" customHeight="1">
      <c r="A93" s="39" t="n"/>
      <c r="B93" s="39" t="n"/>
      <c r="C93" s="39" t="n"/>
      <c r="D93" s="39" t="n"/>
      <c r="E93" s="39" t="n"/>
      <c r="F93" s="39" t="n"/>
      <c r="G93" s="39" t="n"/>
      <c r="H93" s="39" t="n"/>
      <c r="I93" s="43" t="n"/>
      <c r="J93" s="39" t="n"/>
      <c r="K93" s="39" t="n"/>
      <c r="L93" s="39" t="n"/>
      <c r="M93" s="39" t="n"/>
      <c r="N93" s="39" t="n"/>
      <c r="O93" s="39" t="n"/>
      <c r="P93" s="39" t="n"/>
    </row>
    <row r="94" ht="18" customHeight="1">
      <c r="A94" s="39" t="n"/>
      <c r="B94" s="39" t="n"/>
      <c r="C94" s="39" t="n"/>
      <c r="D94" s="39" t="n"/>
      <c r="E94" s="39" t="n"/>
      <c r="F94" s="39" t="n"/>
      <c r="G94" s="39" t="n"/>
      <c r="H94" s="39" t="n"/>
      <c r="I94" s="43" t="n"/>
      <c r="J94" s="39" t="n"/>
      <c r="K94" s="39" t="n"/>
      <c r="L94" s="39" t="n"/>
      <c r="M94" s="39" t="n"/>
      <c r="N94" s="39" t="n"/>
      <c r="O94" s="39" t="n"/>
      <c r="P94" s="39" t="n"/>
    </row>
    <row r="95" ht="18" customHeight="1">
      <c r="A95" s="39" t="n"/>
      <c r="B95" s="39" t="n"/>
      <c r="C95" s="39" t="n"/>
      <c r="D95" s="39" t="n"/>
      <c r="E95" s="39" t="n"/>
      <c r="F95" s="39" t="n"/>
      <c r="G95" s="39" t="n"/>
      <c r="H95" s="39" t="n"/>
      <c r="I95" s="43" t="n"/>
      <c r="J95" s="39" t="n"/>
      <c r="K95" s="39" t="n"/>
      <c r="L95" s="39" t="n"/>
      <c r="M95" s="39" t="n"/>
      <c r="N95" s="39" t="n"/>
      <c r="O95" s="39" t="n"/>
      <c r="P95" s="39" t="n"/>
    </row>
    <row r="96" ht="18" customHeight="1">
      <c r="A96" s="39" t="n"/>
      <c r="B96" s="39" t="n"/>
      <c r="C96" s="39" t="n"/>
      <c r="D96" s="39" t="n"/>
      <c r="E96" s="39" t="n"/>
      <c r="F96" s="39" t="n"/>
      <c r="G96" s="39" t="n"/>
      <c r="H96" s="39" t="n"/>
      <c r="I96" s="43" t="n"/>
      <c r="J96" s="39" t="n"/>
      <c r="K96" s="39" t="n"/>
      <c r="L96" s="39" t="n"/>
      <c r="M96" s="39" t="n"/>
      <c r="N96" s="39" t="n"/>
      <c r="O96" s="39" t="n"/>
      <c r="P96" s="39" t="n"/>
    </row>
    <row r="97" ht="18" customHeight="1">
      <c r="A97" s="39" t="n"/>
      <c r="B97" s="39" t="n"/>
      <c r="C97" s="39" t="n"/>
      <c r="D97" s="39" t="n"/>
      <c r="E97" s="39" t="n"/>
      <c r="F97" s="39" t="n"/>
      <c r="G97" s="39" t="n"/>
      <c r="H97" s="39" t="n"/>
      <c r="I97" s="43" t="n"/>
      <c r="J97" s="39" t="n"/>
      <c r="K97" s="39" t="n"/>
      <c r="L97" s="39" t="n"/>
      <c r="M97" s="39" t="n"/>
      <c r="N97" s="39" t="n"/>
      <c r="O97" s="39" t="n"/>
      <c r="P97" s="39" t="n"/>
    </row>
    <row r="98" ht="18" customHeight="1">
      <c r="A98" s="39" t="n"/>
      <c r="B98" s="39" t="n"/>
      <c r="C98" s="39" t="n"/>
      <c r="D98" s="39" t="n"/>
      <c r="E98" s="39" t="n"/>
      <c r="F98" s="39" t="n"/>
      <c r="G98" s="39" t="n"/>
      <c r="H98" s="39" t="n"/>
      <c r="I98" s="43" t="n"/>
      <c r="J98" s="39" t="n"/>
      <c r="K98" s="39" t="n"/>
      <c r="L98" s="39" t="n"/>
      <c r="M98" s="39" t="n"/>
      <c r="N98" s="39" t="n"/>
      <c r="O98" s="39" t="n"/>
      <c r="P98" s="39" t="n"/>
    </row>
    <row r="99" ht="18" customHeight="1">
      <c r="A99" s="39" t="n"/>
      <c r="B99" s="39" t="n"/>
      <c r="C99" s="39" t="n"/>
      <c r="D99" s="39" t="n"/>
      <c r="E99" s="39" t="n"/>
      <c r="F99" s="39" t="n"/>
      <c r="G99" s="39" t="n"/>
      <c r="H99" s="39" t="n"/>
      <c r="I99" s="43" t="n"/>
      <c r="J99" s="39" t="n"/>
      <c r="K99" s="39" t="n"/>
      <c r="L99" s="39" t="n"/>
      <c r="M99" s="39" t="n"/>
      <c r="N99" s="39" t="n"/>
      <c r="O99" s="39" t="n"/>
      <c r="P99" s="39" t="n"/>
    </row>
    <row r="100" ht="18" customHeight="1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43" t="n"/>
      <c r="J100" s="39" t="n"/>
      <c r="K100" s="39" t="n"/>
      <c r="L100" s="39" t="n"/>
      <c r="M100" s="39" t="n"/>
      <c r="N100" s="39" t="n"/>
      <c r="O100" s="39" t="n"/>
      <c r="P100" s="39" t="n"/>
    </row>
    <row r="101" ht="18" customHeight="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43" t="n"/>
      <c r="J101" s="39" t="n"/>
      <c r="K101" s="39" t="n"/>
      <c r="L101" s="39" t="n"/>
      <c r="M101" s="39" t="n"/>
      <c r="N101" s="39" t="n"/>
      <c r="O101" s="39" t="n"/>
      <c r="P101" s="39" t="n"/>
    </row>
    <row r="102" ht="18" customHeight="1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43" t="n"/>
      <c r="J102" s="39" t="n"/>
      <c r="K102" s="39" t="n"/>
      <c r="L102" s="39" t="n"/>
      <c r="M102" s="39" t="n"/>
      <c r="N102" s="39" t="n"/>
      <c r="O102" s="39" t="n"/>
      <c r="P102" s="39" t="n"/>
    </row>
    <row r="103" ht="18" customHeight="1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43" t="n"/>
      <c r="J103" s="39" t="n"/>
      <c r="K103" s="39" t="n"/>
      <c r="L103" s="39" t="n"/>
      <c r="M103" s="39" t="n"/>
      <c r="N103" s="39" t="n"/>
      <c r="O103" s="39" t="n"/>
      <c r="P103" s="39" t="n"/>
    </row>
    <row r="104" ht="18" customHeight="1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43" t="n"/>
      <c r="J104" s="39" t="n"/>
      <c r="K104" s="39" t="n"/>
      <c r="L104" s="39" t="n"/>
      <c r="M104" s="39" t="n"/>
      <c r="N104" s="39" t="n"/>
      <c r="O104" s="39" t="n"/>
      <c r="P104" s="39" t="n"/>
    </row>
    <row r="105" ht="18" customHeight="1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43" t="n"/>
      <c r="J105" s="39" t="n"/>
      <c r="K105" s="39" t="n"/>
      <c r="L105" s="39" t="n"/>
      <c r="M105" s="39" t="n"/>
      <c r="N105" s="39" t="n"/>
      <c r="O105" s="39" t="n"/>
      <c r="P105" s="39" t="n"/>
    </row>
    <row r="106" ht="18" customHeight="1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43" t="n"/>
      <c r="J106" s="39" t="n"/>
      <c r="K106" s="39" t="n"/>
      <c r="L106" s="39" t="n"/>
      <c r="M106" s="39" t="n"/>
      <c r="N106" s="39" t="n"/>
      <c r="O106" s="39" t="n"/>
      <c r="P106" s="39" t="n"/>
    </row>
    <row r="107" ht="18" customHeight="1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43" t="n"/>
      <c r="J107" s="39" t="n"/>
      <c r="K107" s="39" t="n"/>
      <c r="L107" s="39" t="n"/>
      <c r="M107" s="39" t="n"/>
      <c r="N107" s="39" t="n"/>
      <c r="O107" s="39" t="n"/>
      <c r="P107" s="39" t="n"/>
    </row>
    <row r="108" ht="18" customHeight="1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43" t="n"/>
      <c r="J108" s="39" t="n"/>
      <c r="K108" s="39" t="n"/>
      <c r="L108" s="39" t="n"/>
      <c r="M108" s="39" t="n"/>
      <c r="N108" s="39" t="n"/>
      <c r="O108" s="39" t="n"/>
      <c r="P108" s="39" t="n"/>
    </row>
    <row r="109" ht="18" customHeight="1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43" t="n"/>
      <c r="J109" s="39" t="n"/>
      <c r="K109" s="39" t="n"/>
      <c r="L109" s="39" t="n"/>
      <c r="M109" s="39" t="n"/>
      <c r="N109" s="39" t="n"/>
      <c r="O109" s="39" t="n"/>
      <c r="P109" s="39" t="n"/>
    </row>
    <row r="110" ht="18" customHeight="1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43" t="n"/>
      <c r="J110" s="39" t="n"/>
      <c r="K110" s="39" t="n"/>
      <c r="L110" s="39" t="n"/>
      <c r="M110" s="39" t="n"/>
      <c r="N110" s="39" t="n"/>
      <c r="O110" s="39" t="n"/>
      <c r="P110" s="39" t="n"/>
    </row>
    <row r="111" ht="18" customHeight="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43" t="n"/>
      <c r="J111" s="39" t="n"/>
      <c r="K111" s="39" t="n"/>
      <c r="L111" s="39" t="n"/>
      <c r="M111" s="39" t="n"/>
      <c r="N111" s="39" t="n"/>
      <c r="O111" s="39" t="n"/>
      <c r="P111" s="39" t="n"/>
    </row>
    <row r="112" ht="18" customHeight="1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43" t="n"/>
      <c r="J112" s="39" t="n"/>
      <c r="K112" s="39" t="n"/>
      <c r="L112" s="39" t="n"/>
      <c r="M112" s="39" t="n"/>
      <c r="N112" s="39" t="n"/>
      <c r="O112" s="39" t="n"/>
      <c r="P112" s="39" t="n"/>
    </row>
    <row r="113" ht="18" customHeight="1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43" t="n"/>
      <c r="J113" s="39" t="n"/>
      <c r="K113" s="39" t="n"/>
      <c r="L113" s="39" t="n"/>
      <c r="M113" s="39" t="n"/>
      <c r="N113" s="39" t="n"/>
      <c r="O113" s="39" t="n"/>
      <c r="P113" s="39" t="n"/>
    </row>
    <row r="114" ht="18" customHeight="1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43" t="n"/>
      <c r="J114" s="39" t="n"/>
      <c r="K114" s="39" t="n"/>
      <c r="L114" s="39" t="n"/>
      <c r="M114" s="39" t="n"/>
      <c r="N114" s="39" t="n"/>
      <c r="O114" s="39" t="n"/>
      <c r="P114" s="39" t="n"/>
    </row>
    <row r="115" ht="18" customHeight="1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43" t="n"/>
      <c r="J115" s="39" t="n"/>
      <c r="K115" s="39" t="n"/>
      <c r="L115" s="39" t="n"/>
      <c r="M115" s="39" t="n"/>
      <c r="N115" s="39" t="n"/>
      <c r="O115" s="39" t="n"/>
      <c r="P115" s="39" t="n"/>
    </row>
    <row r="116" ht="18" customHeight="1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43" t="n"/>
      <c r="J116" s="39" t="n"/>
      <c r="K116" s="39" t="n"/>
      <c r="L116" s="39" t="n"/>
      <c r="M116" s="39" t="n"/>
      <c r="N116" s="39" t="n"/>
      <c r="O116" s="39" t="n"/>
      <c r="P116" s="39" t="n"/>
    </row>
    <row r="117" ht="18" customHeight="1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43" t="n"/>
      <c r="J117" s="39" t="n"/>
      <c r="K117" s="39" t="n"/>
      <c r="L117" s="39" t="n"/>
      <c r="M117" s="39" t="n"/>
      <c r="N117" s="39" t="n"/>
      <c r="O117" s="39" t="n"/>
      <c r="P117" s="39" t="n"/>
    </row>
    <row r="118" ht="18" customHeight="1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43" t="n"/>
      <c r="J118" s="39" t="n"/>
      <c r="K118" s="39" t="n"/>
      <c r="L118" s="39" t="n"/>
      <c r="M118" s="39" t="n"/>
      <c r="N118" s="39" t="n"/>
      <c r="O118" s="39" t="n"/>
      <c r="P118" s="39" t="n"/>
    </row>
    <row r="119" ht="18" customHeight="1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43" t="n"/>
      <c r="J119" s="39" t="n"/>
      <c r="K119" s="39" t="n"/>
      <c r="L119" s="39" t="n"/>
      <c r="M119" s="39" t="n"/>
      <c r="N119" s="39" t="n"/>
      <c r="O119" s="39" t="n"/>
      <c r="P119" s="39" t="n"/>
    </row>
    <row r="120" ht="18" customHeight="1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43" t="n"/>
      <c r="J120" s="39" t="n"/>
      <c r="K120" s="39" t="n"/>
      <c r="L120" s="39" t="n"/>
      <c r="M120" s="39" t="n"/>
      <c r="N120" s="39" t="n"/>
      <c r="O120" s="39" t="n"/>
      <c r="P120" s="39" t="n"/>
    </row>
    <row r="121" ht="18" customHeight="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43" t="n"/>
      <c r="J121" s="39" t="n"/>
      <c r="K121" s="39" t="n"/>
      <c r="L121" s="39" t="n"/>
      <c r="M121" s="39" t="n"/>
      <c r="N121" s="39" t="n"/>
      <c r="O121" s="39" t="n"/>
      <c r="P121" s="39" t="n"/>
    </row>
    <row r="122" ht="18" customHeight="1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43" t="n"/>
      <c r="J122" s="39" t="n"/>
      <c r="K122" s="39" t="n"/>
      <c r="L122" s="39" t="n"/>
      <c r="M122" s="39" t="n"/>
      <c r="N122" s="39" t="n"/>
      <c r="O122" s="39" t="n"/>
      <c r="P122" s="39" t="n"/>
    </row>
    <row r="123" ht="18" customHeight="1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43" t="n"/>
      <c r="J123" s="39" t="n"/>
      <c r="K123" s="39" t="n"/>
      <c r="L123" s="39" t="n"/>
      <c r="M123" s="39" t="n"/>
      <c r="N123" s="39" t="n"/>
      <c r="O123" s="39" t="n"/>
      <c r="P123" s="39" t="n"/>
    </row>
    <row r="124" ht="18" customHeight="1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43" t="n"/>
      <c r="J124" s="39" t="n"/>
      <c r="K124" s="39" t="n"/>
      <c r="L124" s="39" t="n"/>
      <c r="M124" s="39" t="n"/>
      <c r="N124" s="39" t="n"/>
      <c r="O124" s="39" t="n"/>
      <c r="P124" s="39" t="n"/>
    </row>
    <row r="125" ht="18" customHeight="1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43" t="n"/>
      <c r="J125" s="39" t="n"/>
      <c r="K125" s="39" t="n"/>
      <c r="L125" s="39" t="n"/>
      <c r="M125" s="39" t="n"/>
      <c r="N125" s="39" t="n"/>
      <c r="O125" s="39" t="n"/>
      <c r="P125" s="39" t="n"/>
    </row>
    <row r="126" ht="18" customHeight="1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43" t="n"/>
      <c r="J126" s="39" t="n"/>
      <c r="K126" s="39" t="n"/>
      <c r="L126" s="39" t="n"/>
      <c r="M126" s="39" t="n"/>
      <c r="N126" s="39" t="n"/>
      <c r="O126" s="39" t="n"/>
      <c r="P126" s="39" t="n"/>
    </row>
    <row r="127" ht="18" customHeight="1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43" t="n"/>
      <c r="J127" s="39" t="n"/>
      <c r="K127" s="39" t="n"/>
      <c r="L127" s="39" t="n"/>
      <c r="M127" s="39" t="n"/>
      <c r="N127" s="39" t="n"/>
      <c r="O127" s="39" t="n"/>
      <c r="P127" s="39" t="n"/>
    </row>
    <row r="128" ht="18" customHeight="1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43" t="n"/>
      <c r="J128" s="39" t="n"/>
      <c r="K128" s="39" t="n"/>
      <c r="L128" s="39" t="n"/>
      <c r="M128" s="39" t="n"/>
      <c r="N128" s="39" t="n"/>
      <c r="O128" s="39" t="n"/>
      <c r="P128" s="39" t="n"/>
    </row>
    <row r="129" ht="18" customHeight="1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43" t="n"/>
      <c r="J129" s="39" t="n"/>
      <c r="K129" s="39" t="n"/>
      <c r="L129" s="39" t="n"/>
      <c r="M129" s="39" t="n"/>
      <c r="N129" s="39" t="n"/>
      <c r="O129" s="39" t="n"/>
      <c r="P129" s="39" t="n"/>
    </row>
    <row r="130" ht="18" customHeight="1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43" t="n"/>
      <c r="J130" s="39" t="n"/>
      <c r="K130" s="39" t="n"/>
      <c r="L130" s="39" t="n"/>
      <c r="M130" s="39" t="n"/>
      <c r="N130" s="39" t="n"/>
      <c r="O130" s="39" t="n"/>
      <c r="P130" s="39" t="n"/>
    </row>
    <row r="131" ht="18" customHeight="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43" t="n"/>
      <c r="J131" s="39" t="n"/>
      <c r="K131" s="39" t="n"/>
      <c r="L131" s="39" t="n"/>
      <c r="M131" s="39" t="n"/>
      <c r="N131" s="39" t="n"/>
      <c r="O131" s="39" t="n"/>
      <c r="P131" s="39" t="n"/>
    </row>
    <row r="132" ht="18" customHeight="1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43" t="n"/>
      <c r="J132" s="39" t="n"/>
      <c r="K132" s="39" t="n"/>
      <c r="L132" s="39" t="n"/>
      <c r="M132" s="39" t="n"/>
      <c r="N132" s="39" t="n"/>
      <c r="O132" s="39" t="n"/>
      <c r="P132" s="39" t="n"/>
    </row>
    <row r="133" ht="18" customHeight="1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43" t="n"/>
      <c r="J133" s="39" t="n"/>
      <c r="K133" s="39" t="n"/>
      <c r="L133" s="39" t="n"/>
      <c r="M133" s="39" t="n"/>
      <c r="N133" s="39" t="n"/>
      <c r="O133" s="39" t="n"/>
      <c r="P133" s="39" t="n"/>
    </row>
    <row r="134" ht="18" customHeight="1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43" t="n"/>
      <c r="J134" s="39" t="n"/>
      <c r="K134" s="39" t="n"/>
      <c r="L134" s="39" t="n"/>
      <c r="M134" s="39" t="n"/>
      <c r="N134" s="39" t="n"/>
      <c r="O134" s="39" t="n"/>
      <c r="P134" s="39" t="n"/>
    </row>
    <row r="135" ht="18" customHeight="1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43" t="n"/>
      <c r="J135" s="39" t="n"/>
      <c r="K135" s="39" t="n"/>
      <c r="L135" s="39" t="n"/>
      <c r="M135" s="39" t="n"/>
      <c r="N135" s="39" t="n"/>
      <c r="O135" s="39" t="n"/>
      <c r="P135" s="39" t="n"/>
    </row>
    <row r="136" ht="18" customHeight="1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43" t="n"/>
      <c r="J136" s="39" t="n"/>
      <c r="K136" s="39" t="n"/>
      <c r="L136" s="39" t="n"/>
      <c r="M136" s="39" t="n"/>
      <c r="N136" s="39" t="n"/>
      <c r="O136" s="39" t="n"/>
      <c r="P136" s="39" t="n"/>
    </row>
    <row r="137" ht="18" customHeight="1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43" t="n"/>
      <c r="J137" s="39" t="n"/>
      <c r="K137" s="39" t="n"/>
      <c r="L137" s="39" t="n"/>
      <c r="M137" s="39" t="n"/>
      <c r="N137" s="39" t="n"/>
      <c r="O137" s="39" t="n"/>
      <c r="P137" s="39" t="n"/>
    </row>
    <row r="138" ht="18" customHeight="1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43" t="n"/>
      <c r="J138" s="39" t="n"/>
      <c r="K138" s="39" t="n"/>
      <c r="L138" s="39" t="n"/>
      <c r="M138" s="39" t="n"/>
      <c r="N138" s="39" t="n"/>
      <c r="O138" s="39" t="n"/>
      <c r="P138" s="39" t="n"/>
    </row>
    <row r="139" ht="18" customHeight="1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43" t="n"/>
      <c r="J139" s="39" t="n"/>
      <c r="K139" s="39" t="n"/>
      <c r="L139" s="39" t="n"/>
      <c r="M139" s="39" t="n"/>
      <c r="N139" s="39" t="n"/>
      <c r="O139" s="39" t="n"/>
      <c r="P139" s="39" t="n"/>
    </row>
    <row r="140" ht="18" customHeight="1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43" t="n"/>
      <c r="J140" s="39" t="n"/>
      <c r="K140" s="39" t="n"/>
      <c r="L140" s="39" t="n"/>
      <c r="M140" s="39" t="n"/>
      <c r="N140" s="39" t="n"/>
      <c r="O140" s="39" t="n"/>
      <c r="P140" s="39" t="n"/>
    </row>
    <row r="141" ht="18" customHeight="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43" t="n"/>
      <c r="J141" s="39" t="n"/>
      <c r="K141" s="39" t="n"/>
      <c r="L141" s="39" t="n"/>
      <c r="M141" s="39" t="n"/>
      <c r="N141" s="39" t="n"/>
      <c r="O141" s="39" t="n"/>
      <c r="P141" s="39" t="n"/>
    </row>
    <row r="142" ht="18" customHeight="1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43" t="n"/>
      <c r="J142" s="39" t="n"/>
      <c r="K142" s="39" t="n"/>
      <c r="L142" s="39" t="n"/>
      <c r="M142" s="39" t="n"/>
      <c r="N142" s="39" t="n"/>
      <c r="O142" s="39" t="n"/>
      <c r="P142" s="39" t="n"/>
    </row>
    <row r="143" ht="18" customHeight="1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43" t="n"/>
      <c r="J143" s="39" t="n"/>
      <c r="K143" s="39" t="n"/>
      <c r="L143" s="39" t="n"/>
      <c r="M143" s="39" t="n"/>
      <c r="N143" s="39" t="n"/>
      <c r="O143" s="39" t="n"/>
      <c r="P143" s="39" t="n"/>
    </row>
    <row r="144" ht="18" customHeight="1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43" t="n"/>
      <c r="J144" s="39" t="n"/>
      <c r="K144" s="39" t="n"/>
      <c r="L144" s="39" t="n"/>
      <c r="M144" s="39" t="n"/>
      <c r="N144" s="39" t="n"/>
      <c r="O144" s="39" t="n"/>
      <c r="P144" s="39" t="n"/>
    </row>
    <row r="145" ht="18" customHeight="1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43" t="n"/>
      <c r="J145" s="39" t="n"/>
      <c r="K145" s="39" t="n"/>
      <c r="L145" s="39" t="n"/>
      <c r="M145" s="39" t="n"/>
      <c r="N145" s="39" t="n"/>
      <c r="O145" s="39" t="n"/>
      <c r="P145" s="39" t="n"/>
    </row>
    <row r="146" ht="18" customHeight="1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43" t="n"/>
      <c r="J146" s="39" t="n"/>
      <c r="K146" s="39" t="n"/>
      <c r="L146" s="39" t="n"/>
      <c r="M146" s="39" t="n"/>
      <c r="N146" s="39" t="n"/>
      <c r="O146" s="39" t="n"/>
      <c r="P146" s="39" t="n"/>
    </row>
    <row r="147" ht="18" customHeight="1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43" t="n"/>
      <c r="J147" s="39" t="n"/>
      <c r="K147" s="39" t="n"/>
      <c r="L147" s="39" t="n"/>
      <c r="M147" s="39" t="n"/>
      <c r="N147" s="39" t="n"/>
      <c r="O147" s="39" t="n"/>
      <c r="P147" s="39" t="n"/>
    </row>
    <row r="148" ht="18" customHeight="1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43" t="n"/>
      <c r="J148" s="39" t="n"/>
      <c r="K148" s="39" t="n"/>
      <c r="L148" s="39" t="n"/>
      <c r="M148" s="39" t="n"/>
      <c r="N148" s="39" t="n"/>
      <c r="O148" s="39" t="n"/>
      <c r="P148" s="39" t="n"/>
    </row>
    <row r="149" ht="18" customHeight="1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43" t="n"/>
      <c r="J149" s="39" t="n"/>
      <c r="K149" s="39" t="n"/>
      <c r="L149" s="39" t="n"/>
      <c r="M149" s="39" t="n"/>
      <c r="N149" s="39" t="n"/>
      <c r="O149" s="39" t="n"/>
      <c r="P149" s="39" t="n"/>
    </row>
    <row r="150" ht="18" customHeight="1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43" t="n"/>
      <c r="J150" s="39" t="n"/>
      <c r="K150" s="39" t="n"/>
      <c r="L150" s="39" t="n"/>
      <c r="M150" s="39" t="n"/>
      <c r="N150" s="39" t="n"/>
      <c r="O150" s="39" t="n"/>
      <c r="P150" s="39" t="n"/>
    </row>
    <row r="151" ht="18" customHeight="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43" t="n"/>
      <c r="J151" s="39" t="n"/>
      <c r="K151" s="39" t="n"/>
      <c r="L151" s="39" t="n"/>
      <c r="M151" s="39" t="n"/>
      <c r="N151" s="39" t="n"/>
      <c r="O151" s="39" t="n"/>
      <c r="P151" s="39" t="n"/>
    </row>
    <row r="152" ht="18" customHeight="1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43" t="n"/>
      <c r="J152" s="39" t="n"/>
      <c r="K152" s="39" t="n"/>
      <c r="L152" s="39" t="n"/>
      <c r="M152" s="39" t="n"/>
      <c r="N152" s="39" t="n"/>
      <c r="O152" s="39" t="n"/>
      <c r="P152" s="39" t="n"/>
    </row>
    <row r="153" ht="18" customHeight="1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43" t="n"/>
      <c r="J153" s="39" t="n"/>
      <c r="K153" s="39" t="n"/>
      <c r="L153" s="39" t="n"/>
      <c r="M153" s="39" t="n"/>
      <c r="N153" s="39" t="n"/>
      <c r="O153" s="39" t="n"/>
      <c r="P153" s="39" t="n"/>
    </row>
    <row r="154" ht="18" customHeight="1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43" t="n"/>
      <c r="J154" s="39" t="n"/>
      <c r="K154" s="39" t="n"/>
      <c r="L154" s="39" t="n"/>
      <c r="M154" s="39" t="n"/>
      <c r="N154" s="39" t="n"/>
      <c r="O154" s="39" t="n"/>
      <c r="P154" s="39" t="n"/>
    </row>
    <row r="155" ht="18" customHeight="1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43" t="n"/>
      <c r="J155" s="39" t="n"/>
      <c r="K155" s="39" t="n"/>
      <c r="L155" s="39" t="n"/>
      <c r="M155" s="39" t="n"/>
      <c r="N155" s="39" t="n"/>
      <c r="O155" s="39" t="n"/>
      <c r="P155" s="39" t="n"/>
    </row>
    <row r="156" ht="18" customHeight="1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43" t="n"/>
      <c r="J156" s="39" t="n"/>
      <c r="K156" s="39" t="n"/>
      <c r="L156" s="39" t="n"/>
      <c r="M156" s="39" t="n"/>
      <c r="N156" s="39" t="n"/>
      <c r="O156" s="39" t="n"/>
      <c r="P156" s="39" t="n"/>
    </row>
    <row r="157" ht="18" customHeight="1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43" t="n"/>
      <c r="J157" s="39" t="n"/>
      <c r="K157" s="39" t="n"/>
      <c r="L157" s="39" t="n"/>
      <c r="M157" s="39" t="n"/>
      <c r="N157" s="39" t="n"/>
      <c r="O157" s="39" t="n"/>
      <c r="P157" s="39" t="n"/>
    </row>
    <row r="158" ht="18" customHeight="1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43" t="n"/>
      <c r="J158" s="39" t="n"/>
      <c r="K158" s="39" t="n"/>
      <c r="L158" s="39" t="n"/>
      <c r="M158" s="39" t="n"/>
      <c r="N158" s="39" t="n"/>
      <c r="O158" s="39" t="n"/>
      <c r="P158" s="39" t="n"/>
    </row>
    <row r="159" ht="18" customHeight="1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43" t="n"/>
      <c r="J159" s="39" t="n"/>
      <c r="K159" s="39" t="n"/>
      <c r="L159" s="39" t="n"/>
      <c r="M159" s="39" t="n"/>
      <c r="N159" s="39" t="n"/>
      <c r="O159" s="39" t="n"/>
      <c r="P159" s="39" t="n"/>
    </row>
    <row r="160" ht="18" customHeight="1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43" t="n"/>
      <c r="J160" s="39" t="n"/>
      <c r="K160" s="39" t="n"/>
      <c r="L160" s="39" t="n"/>
      <c r="M160" s="39" t="n"/>
      <c r="N160" s="39" t="n"/>
      <c r="O160" s="39" t="n"/>
      <c r="P160" s="39" t="n"/>
    </row>
    <row r="161" ht="18" customHeight="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43" t="n"/>
      <c r="J161" s="39" t="n"/>
      <c r="K161" s="39" t="n"/>
      <c r="L161" s="39" t="n"/>
      <c r="M161" s="39" t="n"/>
      <c r="N161" s="39" t="n"/>
      <c r="O161" s="39" t="n"/>
      <c r="P161" s="39" t="n"/>
    </row>
    <row r="162" ht="18" customHeight="1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43" t="n"/>
      <c r="J162" s="39" t="n"/>
      <c r="K162" s="39" t="n"/>
      <c r="L162" s="39" t="n"/>
      <c r="M162" s="39" t="n"/>
      <c r="N162" s="39" t="n"/>
      <c r="O162" s="39" t="n"/>
      <c r="P162" s="39" t="n"/>
    </row>
    <row r="163" ht="18" customHeight="1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43" t="n"/>
      <c r="J163" s="39" t="n"/>
      <c r="K163" s="39" t="n"/>
      <c r="L163" s="39" t="n"/>
      <c r="M163" s="39" t="n"/>
      <c r="N163" s="39" t="n"/>
      <c r="O163" s="39" t="n"/>
      <c r="P163" s="39" t="n"/>
    </row>
    <row r="164" ht="18" customHeight="1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43" t="n"/>
      <c r="J164" s="39" t="n"/>
      <c r="K164" s="39" t="n"/>
      <c r="L164" s="39" t="n"/>
      <c r="M164" s="39" t="n"/>
      <c r="N164" s="39" t="n"/>
      <c r="O164" s="39" t="n"/>
      <c r="P164" s="39" t="n"/>
    </row>
    <row r="165" ht="18" customHeight="1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43" t="n"/>
      <c r="J165" s="39" t="n"/>
      <c r="K165" s="39" t="n"/>
      <c r="L165" s="39" t="n"/>
      <c r="M165" s="39" t="n"/>
      <c r="N165" s="39" t="n"/>
      <c r="O165" s="39" t="n"/>
      <c r="P165" s="39" t="n"/>
    </row>
    <row r="166" ht="18" customHeight="1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43" t="n"/>
      <c r="J166" s="39" t="n"/>
      <c r="K166" s="39" t="n"/>
      <c r="L166" s="39" t="n"/>
      <c r="M166" s="39" t="n"/>
      <c r="N166" s="39" t="n"/>
      <c r="O166" s="39" t="n"/>
      <c r="P166" s="39" t="n"/>
    </row>
    <row r="167" ht="18" customHeight="1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43" t="n"/>
      <c r="J167" s="39" t="n"/>
      <c r="K167" s="39" t="n"/>
      <c r="L167" s="39" t="n"/>
      <c r="M167" s="39" t="n"/>
      <c r="N167" s="39" t="n"/>
      <c r="O167" s="39" t="n"/>
      <c r="P167" s="39" t="n"/>
    </row>
    <row r="168" ht="18" customHeight="1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43" t="n"/>
      <c r="J168" s="39" t="n"/>
      <c r="K168" s="39" t="n"/>
      <c r="L168" s="39" t="n"/>
      <c r="M168" s="39" t="n"/>
      <c r="N168" s="39" t="n"/>
      <c r="O168" s="39" t="n"/>
      <c r="P168" s="39" t="n"/>
    </row>
    <row r="169" ht="18" customHeight="1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43" t="n"/>
      <c r="J169" s="39" t="n"/>
      <c r="K169" s="39" t="n"/>
      <c r="L169" s="39" t="n"/>
      <c r="M169" s="39" t="n"/>
      <c r="N169" s="39" t="n"/>
      <c r="O169" s="39" t="n"/>
      <c r="P169" s="39" t="n"/>
    </row>
    <row r="170" ht="18" customHeight="1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43" t="n"/>
      <c r="J170" s="39" t="n"/>
      <c r="K170" s="39" t="n"/>
      <c r="L170" s="39" t="n"/>
      <c r="M170" s="39" t="n"/>
      <c r="N170" s="39" t="n"/>
      <c r="O170" s="39" t="n"/>
      <c r="P170" s="39" t="n"/>
    </row>
    <row r="171" ht="18" customHeight="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43" t="n"/>
      <c r="J171" s="39" t="n"/>
      <c r="K171" s="39" t="n"/>
      <c r="L171" s="39" t="n"/>
      <c r="M171" s="39" t="n"/>
      <c r="N171" s="39" t="n"/>
      <c r="O171" s="39" t="n"/>
      <c r="P171" s="39" t="n"/>
    </row>
    <row r="172" ht="18" customHeight="1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43" t="n"/>
      <c r="J172" s="39" t="n"/>
      <c r="K172" s="39" t="n"/>
      <c r="L172" s="39" t="n"/>
      <c r="M172" s="39" t="n"/>
      <c r="N172" s="39" t="n"/>
      <c r="O172" s="39" t="n"/>
      <c r="P172" s="39" t="n"/>
    </row>
    <row r="173" ht="18" customHeight="1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43" t="n"/>
      <c r="J173" s="39" t="n"/>
      <c r="K173" s="39" t="n"/>
      <c r="L173" s="39" t="n"/>
      <c r="M173" s="39" t="n"/>
      <c r="N173" s="39" t="n"/>
      <c r="O173" s="39" t="n"/>
      <c r="P173" s="39" t="n"/>
    </row>
    <row r="174" ht="18" customHeight="1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43" t="n"/>
      <c r="J174" s="39" t="n"/>
      <c r="K174" s="39" t="n"/>
      <c r="L174" s="39" t="n"/>
      <c r="M174" s="39" t="n"/>
      <c r="N174" s="39" t="n"/>
      <c r="O174" s="39" t="n"/>
      <c r="P174" s="39" t="n"/>
    </row>
    <row r="175" ht="18" customHeight="1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43" t="n"/>
      <c r="J175" s="39" t="n"/>
      <c r="K175" s="39" t="n"/>
      <c r="L175" s="39" t="n"/>
      <c r="M175" s="39" t="n"/>
      <c r="N175" s="39" t="n"/>
      <c r="O175" s="39" t="n"/>
      <c r="P175" s="39" t="n"/>
    </row>
    <row r="176" ht="18" customHeight="1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43" t="n"/>
      <c r="J176" s="39" t="n"/>
      <c r="K176" s="39" t="n"/>
      <c r="L176" s="39" t="n"/>
      <c r="M176" s="39" t="n"/>
      <c r="N176" s="39" t="n"/>
      <c r="O176" s="39" t="n"/>
      <c r="P176" s="39" t="n"/>
    </row>
    <row r="177" ht="18" customHeight="1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43" t="n"/>
      <c r="J177" s="39" t="n"/>
      <c r="K177" s="39" t="n"/>
      <c r="L177" s="39" t="n"/>
      <c r="M177" s="39" t="n"/>
      <c r="N177" s="39" t="n"/>
      <c r="O177" s="39" t="n"/>
      <c r="P177" s="39" t="n"/>
    </row>
    <row r="178" ht="18" customHeight="1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43" t="n"/>
      <c r="J178" s="39" t="n"/>
      <c r="K178" s="39" t="n"/>
      <c r="L178" s="39" t="n"/>
      <c r="M178" s="39" t="n"/>
      <c r="N178" s="39" t="n"/>
      <c r="O178" s="39" t="n"/>
      <c r="P178" s="39" t="n"/>
    </row>
    <row r="179" ht="18" customHeight="1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43" t="n"/>
      <c r="J179" s="39" t="n"/>
      <c r="K179" s="39" t="n"/>
      <c r="L179" s="39" t="n"/>
      <c r="M179" s="39" t="n"/>
      <c r="N179" s="39" t="n"/>
      <c r="O179" s="39" t="n"/>
      <c r="P179" s="39" t="n"/>
    </row>
    <row r="180" ht="18" customHeight="1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43" t="n"/>
      <c r="J180" s="39" t="n"/>
      <c r="K180" s="39" t="n"/>
      <c r="L180" s="39" t="n"/>
      <c r="M180" s="39" t="n"/>
      <c r="N180" s="39" t="n"/>
      <c r="O180" s="39" t="n"/>
      <c r="P180" s="39" t="n"/>
    </row>
    <row r="181" ht="18" customHeight="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43" t="n"/>
      <c r="J181" s="39" t="n"/>
      <c r="K181" s="39" t="n"/>
      <c r="L181" s="39" t="n"/>
      <c r="M181" s="39" t="n"/>
      <c r="N181" s="39" t="n"/>
      <c r="O181" s="39" t="n"/>
      <c r="P181" s="39" t="n"/>
    </row>
    <row r="182" ht="18" customHeight="1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43" t="n"/>
      <c r="J182" s="39" t="n"/>
      <c r="K182" s="39" t="n"/>
      <c r="L182" s="39" t="n"/>
      <c r="M182" s="39" t="n"/>
      <c r="N182" s="39" t="n"/>
      <c r="O182" s="39" t="n"/>
      <c r="P182" s="39" t="n"/>
    </row>
    <row r="183" ht="18" customHeight="1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43" t="n"/>
      <c r="J183" s="39" t="n"/>
      <c r="K183" s="39" t="n"/>
      <c r="L183" s="39" t="n"/>
      <c r="M183" s="39" t="n"/>
      <c r="N183" s="39" t="n"/>
      <c r="O183" s="39" t="n"/>
      <c r="P183" s="39" t="n"/>
    </row>
    <row r="184" ht="18" customHeight="1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43" t="n"/>
      <c r="J184" s="39" t="n"/>
      <c r="K184" s="39" t="n"/>
      <c r="L184" s="39" t="n"/>
      <c r="M184" s="39" t="n"/>
      <c r="N184" s="39" t="n"/>
      <c r="O184" s="39" t="n"/>
      <c r="P184" s="39" t="n"/>
    </row>
    <row r="185" ht="18" customHeight="1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43" t="n"/>
      <c r="J185" s="39" t="n"/>
      <c r="K185" s="39" t="n"/>
      <c r="L185" s="39" t="n"/>
      <c r="M185" s="39" t="n"/>
      <c r="N185" s="39" t="n"/>
      <c r="O185" s="39" t="n"/>
      <c r="P185" s="39" t="n"/>
    </row>
    <row r="186" ht="18" customHeight="1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43" t="n"/>
      <c r="J186" s="39" t="n"/>
      <c r="K186" s="39" t="n"/>
      <c r="L186" s="39" t="n"/>
      <c r="M186" s="39" t="n"/>
      <c r="N186" s="39" t="n"/>
      <c r="O186" s="39" t="n"/>
      <c r="P186" s="39" t="n"/>
    </row>
    <row r="187" ht="18" customHeight="1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43" t="n"/>
      <c r="J187" s="39" t="n"/>
      <c r="K187" s="39" t="n"/>
      <c r="L187" s="39" t="n"/>
      <c r="M187" s="39" t="n"/>
      <c r="N187" s="39" t="n"/>
      <c r="O187" s="39" t="n"/>
      <c r="P187" s="39" t="n"/>
    </row>
    <row r="188" ht="18" customHeight="1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43" t="n"/>
      <c r="J188" s="39" t="n"/>
      <c r="K188" s="39" t="n"/>
      <c r="L188" s="39" t="n"/>
      <c r="M188" s="39" t="n"/>
      <c r="N188" s="39" t="n"/>
      <c r="O188" s="39" t="n"/>
      <c r="P188" s="39" t="n"/>
    </row>
    <row r="189" ht="18" customHeight="1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43" t="n"/>
      <c r="J189" s="39" t="n"/>
      <c r="K189" s="39" t="n"/>
      <c r="L189" s="39" t="n"/>
      <c r="M189" s="39" t="n"/>
      <c r="N189" s="39" t="n"/>
      <c r="O189" s="39" t="n"/>
      <c r="P189" s="39" t="n"/>
    </row>
    <row r="190" ht="18" customHeight="1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43" t="n"/>
      <c r="J190" s="39" t="n"/>
      <c r="K190" s="39" t="n"/>
      <c r="L190" s="39" t="n"/>
      <c r="M190" s="39" t="n"/>
      <c r="N190" s="39" t="n"/>
      <c r="O190" s="39" t="n"/>
      <c r="P190" s="39" t="n"/>
    </row>
    <row r="191" ht="18" customHeight="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43" t="n"/>
      <c r="J191" s="39" t="n"/>
      <c r="K191" s="39" t="n"/>
      <c r="L191" s="39" t="n"/>
      <c r="M191" s="39" t="n"/>
      <c r="N191" s="39" t="n"/>
      <c r="O191" s="39" t="n"/>
      <c r="P191" s="39" t="n"/>
    </row>
    <row r="192" ht="18" customHeight="1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43" t="n"/>
      <c r="J192" s="39" t="n"/>
      <c r="K192" s="39" t="n"/>
      <c r="L192" s="39" t="n"/>
      <c r="M192" s="39" t="n"/>
      <c r="N192" s="39" t="n"/>
      <c r="O192" s="39" t="n"/>
      <c r="P192" s="39" t="n"/>
    </row>
    <row r="193" ht="18" customHeight="1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43" t="n"/>
      <c r="J193" s="39" t="n"/>
      <c r="K193" s="39" t="n"/>
      <c r="L193" s="39" t="n"/>
      <c r="M193" s="39" t="n"/>
      <c r="N193" s="39" t="n"/>
      <c r="O193" s="39" t="n"/>
      <c r="P193" s="39" t="n"/>
    </row>
    <row r="194" ht="18" customHeight="1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43" t="n"/>
      <c r="J194" s="39" t="n"/>
      <c r="K194" s="39" t="n"/>
      <c r="L194" s="39" t="n"/>
      <c r="M194" s="39" t="n"/>
      <c r="N194" s="39" t="n"/>
      <c r="O194" s="39" t="n"/>
      <c r="P194" s="39" t="n"/>
    </row>
    <row r="195" ht="18" customHeight="1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43" t="n"/>
      <c r="J195" s="39" t="n"/>
      <c r="K195" s="39" t="n"/>
      <c r="L195" s="39" t="n"/>
      <c r="M195" s="39" t="n"/>
      <c r="N195" s="39" t="n"/>
      <c r="O195" s="39" t="n"/>
      <c r="P195" s="39" t="n"/>
    </row>
    <row r="196" ht="18" customHeight="1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43" t="n"/>
      <c r="J196" s="39" t="n"/>
      <c r="K196" s="39" t="n"/>
      <c r="L196" s="39" t="n"/>
      <c r="M196" s="39" t="n"/>
      <c r="N196" s="39" t="n"/>
      <c r="O196" s="39" t="n"/>
      <c r="P196" s="39" t="n"/>
    </row>
    <row r="197" ht="18" customHeight="1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43" t="n"/>
      <c r="J197" s="39" t="n"/>
      <c r="K197" s="39" t="n"/>
      <c r="L197" s="39" t="n"/>
      <c r="M197" s="39" t="n"/>
      <c r="N197" s="39" t="n"/>
      <c r="O197" s="39" t="n"/>
      <c r="P197" s="39" t="n"/>
    </row>
    <row r="198" ht="18" customHeight="1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43" t="n"/>
      <c r="J198" s="39" t="n"/>
      <c r="K198" s="39" t="n"/>
      <c r="L198" s="39" t="n"/>
      <c r="M198" s="39" t="n"/>
      <c r="N198" s="39" t="n"/>
      <c r="O198" s="39" t="n"/>
      <c r="P198" s="39" t="n"/>
    </row>
    <row r="199" ht="18" customHeight="1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43" t="n"/>
      <c r="J199" s="39" t="n"/>
      <c r="K199" s="39" t="n"/>
      <c r="L199" s="39" t="n"/>
      <c r="M199" s="39" t="n"/>
      <c r="N199" s="39" t="n"/>
      <c r="O199" s="39" t="n"/>
      <c r="P199" s="39" t="n"/>
    </row>
    <row r="200" ht="18" customHeight="1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43" t="n"/>
      <c r="J200" s="39" t="n"/>
      <c r="K200" s="39" t="n"/>
      <c r="L200" s="39" t="n"/>
      <c r="M200" s="39" t="n"/>
      <c r="N200" s="39" t="n"/>
      <c r="O200" s="39" t="n"/>
      <c r="P200" s="39" t="n"/>
    </row>
    <row r="201" ht="18" customHeight="1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43" t="n"/>
      <c r="J201" s="39" t="n"/>
      <c r="K201" s="39" t="n"/>
      <c r="L201" s="39" t="n"/>
      <c r="M201" s="39" t="n"/>
      <c r="N201" s="39" t="n"/>
      <c r="O201" s="39" t="n"/>
      <c r="P201" s="39" t="n"/>
    </row>
    <row r="202" ht="18" customHeight="1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43" t="n"/>
      <c r="J202" s="39" t="n"/>
      <c r="K202" s="39" t="n"/>
      <c r="L202" s="39" t="n"/>
      <c r="M202" s="39" t="n"/>
      <c r="N202" s="39" t="n"/>
      <c r="O202" s="39" t="n"/>
      <c r="P202" s="39" t="n"/>
    </row>
    <row r="203" ht="18" customHeight="1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43" t="n"/>
      <c r="J203" s="39" t="n"/>
      <c r="K203" s="39" t="n"/>
      <c r="L203" s="39" t="n"/>
      <c r="M203" s="39" t="n"/>
      <c r="N203" s="39" t="n"/>
      <c r="O203" s="39" t="n"/>
      <c r="P203" s="39" t="n"/>
    </row>
    <row r="204" ht="18" customHeight="1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43" t="n"/>
      <c r="J204" s="39" t="n"/>
      <c r="K204" s="39" t="n"/>
      <c r="L204" s="39" t="n"/>
      <c r="M204" s="39" t="n"/>
      <c r="N204" s="39" t="n"/>
      <c r="O204" s="39" t="n"/>
      <c r="P204" s="39" t="n"/>
    </row>
    <row r="205" ht="18" customHeight="1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43" t="n"/>
      <c r="J205" s="39" t="n"/>
      <c r="K205" s="39" t="n"/>
      <c r="L205" s="39" t="n"/>
      <c r="M205" s="39" t="n"/>
      <c r="N205" s="39" t="n"/>
      <c r="O205" s="39" t="n"/>
      <c r="P205" s="39" t="n"/>
    </row>
    <row r="206" ht="18" customHeight="1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43" t="n"/>
      <c r="J206" s="39" t="n"/>
      <c r="K206" s="39" t="n"/>
      <c r="L206" s="39" t="n"/>
      <c r="M206" s="39" t="n"/>
      <c r="N206" s="39" t="n"/>
      <c r="O206" s="39" t="n"/>
      <c r="P206" s="39" t="n"/>
    </row>
    <row r="207" ht="18" customHeight="1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43" t="n"/>
      <c r="J207" s="39" t="n"/>
      <c r="K207" s="39" t="n"/>
      <c r="L207" s="39" t="n"/>
      <c r="M207" s="39" t="n"/>
      <c r="N207" s="39" t="n"/>
      <c r="O207" s="39" t="n"/>
      <c r="P207" s="39" t="n"/>
    </row>
    <row r="208" ht="18" customHeight="1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43" t="n"/>
      <c r="J208" s="39" t="n"/>
      <c r="K208" s="39" t="n"/>
      <c r="L208" s="39" t="n"/>
      <c r="M208" s="39" t="n"/>
      <c r="N208" s="39" t="n"/>
      <c r="O208" s="39" t="n"/>
      <c r="P208" s="39" t="n"/>
    </row>
    <row r="209" ht="18" customHeight="1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43" t="n"/>
      <c r="J209" s="39" t="n"/>
      <c r="K209" s="39" t="n"/>
      <c r="L209" s="39" t="n"/>
      <c r="M209" s="39" t="n"/>
      <c r="N209" s="39" t="n"/>
      <c r="O209" s="39" t="n"/>
      <c r="P209" s="39" t="n"/>
    </row>
    <row r="210" ht="18" customHeight="1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43" t="n"/>
      <c r="J210" s="39" t="n"/>
      <c r="K210" s="39" t="n"/>
      <c r="L210" s="39" t="n"/>
      <c r="M210" s="39" t="n"/>
      <c r="N210" s="39" t="n"/>
      <c r="O210" s="39" t="n"/>
      <c r="P210" s="39" t="n"/>
    </row>
    <row r="211" ht="18" customHeight="1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43" t="n"/>
      <c r="J211" s="39" t="n"/>
      <c r="K211" s="39" t="n"/>
      <c r="L211" s="39" t="n"/>
      <c r="M211" s="39" t="n"/>
      <c r="N211" s="39" t="n"/>
      <c r="O211" s="39" t="n"/>
      <c r="P211" s="39" t="n"/>
    </row>
    <row r="212" ht="18" customHeight="1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43" t="n"/>
      <c r="J212" s="39" t="n"/>
      <c r="K212" s="39" t="n"/>
      <c r="L212" s="39" t="n"/>
      <c r="M212" s="39" t="n"/>
      <c r="N212" s="39" t="n"/>
      <c r="O212" s="39" t="n"/>
      <c r="P212" s="39" t="n"/>
    </row>
    <row r="213" ht="18" customHeight="1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43" t="n"/>
      <c r="J213" s="39" t="n"/>
      <c r="K213" s="39" t="n"/>
      <c r="L213" s="39" t="n"/>
      <c r="M213" s="39" t="n"/>
      <c r="N213" s="39" t="n"/>
      <c r="O213" s="39" t="n"/>
      <c r="P213" s="39" t="n"/>
    </row>
    <row r="214" ht="18" customHeight="1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43" t="n"/>
      <c r="J214" s="39" t="n"/>
      <c r="K214" s="39" t="n"/>
      <c r="L214" s="39" t="n"/>
      <c r="M214" s="39" t="n"/>
      <c r="N214" s="39" t="n"/>
      <c r="O214" s="39" t="n"/>
      <c r="P214" s="39" t="n"/>
    </row>
    <row r="215" ht="18" customHeight="1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43" t="n"/>
      <c r="J215" s="39" t="n"/>
      <c r="K215" s="39" t="n"/>
      <c r="L215" s="39" t="n"/>
      <c r="M215" s="39" t="n"/>
      <c r="N215" s="39" t="n"/>
      <c r="O215" s="39" t="n"/>
      <c r="P215" s="39" t="n"/>
    </row>
    <row r="216" ht="18" customHeight="1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43" t="n"/>
      <c r="J216" s="39" t="n"/>
      <c r="K216" s="39" t="n"/>
      <c r="L216" s="39" t="n"/>
      <c r="M216" s="39" t="n"/>
      <c r="N216" s="39" t="n"/>
      <c r="O216" s="39" t="n"/>
      <c r="P216" s="39" t="n"/>
    </row>
    <row r="217" ht="18" customHeight="1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43" t="n"/>
      <c r="J217" s="39" t="n"/>
      <c r="K217" s="39" t="n"/>
      <c r="L217" s="39" t="n"/>
      <c r="M217" s="39" t="n"/>
      <c r="N217" s="39" t="n"/>
      <c r="O217" s="39" t="n"/>
      <c r="P217" s="39" t="n"/>
    </row>
    <row r="218" ht="18" customHeight="1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43" t="n"/>
      <c r="J218" s="39" t="n"/>
      <c r="K218" s="39" t="n"/>
      <c r="L218" s="39" t="n"/>
      <c r="M218" s="39" t="n"/>
      <c r="N218" s="39" t="n"/>
      <c r="O218" s="39" t="n"/>
      <c r="P218" s="39" t="n"/>
    </row>
    <row r="219" ht="18" customHeight="1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43" t="n"/>
      <c r="J219" s="39" t="n"/>
      <c r="K219" s="39" t="n"/>
      <c r="L219" s="39" t="n"/>
      <c r="M219" s="39" t="n"/>
      <c r="N219" s="39" t="n"/>
      <c r="O219" s="39" t="n"/>
      <c r="P219" s="39" t="n"/>
    </row>
    <row r="220" ht="18" customHeight="1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43" t="n"/>
      <c r="J220" s="39" t="n"/>
      <c r="K220" s="39" t="n"/>
      <c r="L220" s="39" t="n"/>
      <c r="M220" s="39" t="n"/>
      <c r="N220" s="39" t="n"/>
      <c r="O220" s="39" t="n"/>
      <c r="P220" s="39" t="n"/>
    </row>
    <row r="221" ht="18" customHeight="1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43" t="n"/>
      <c r="J221" s="39" t="n"/>
      <c r="K221" s="39" t="n"/>
      <c r="L221" s="39" t="n"/>
      <c r="M221" s="39" t="n"/>
      <c r="N221" s="39" t="n"/>
      <c r="O221" s="39" t="n"/>
      <c r="P221" s="39" t="n"/>
    </row>
    <row r="222" ht="18" customHeight="1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43" t="n"/>
      <c r="J222" s="39" t="n"/>
      <c r="K222" s="39" t="n"/>
      <c r="L222" s="39" t="n"/>
      <c r="M222" s="39" t="n"/>
      <c r="N222" s="39" t="n"/>
      <c r="O222" s="39" t="n"/>
      <c r="P222" s="39" t="n"/>
    </row>
    <row r="223" ht="18" customHeight="1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43" t="n"/>
      <c r="J223" s="39" t="n"/>
      <c r="K223" s="39" t="n"/>
      <c r="L223" s="39" t="n"/>
      <c r="M223" s="39" t="n"/>
      <c r="N223" s="39" t="n"/>
      <c r="O223" s="39" t="n"/>
      <c r="P223" s="39" t="n"/>
    </row>
    <row r="224" ht="18" customHeight="1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43" t="n"/>
      <c r="J224" s="39" t="n"/>
      <c r="K224" s="39" t="n"/>
      <c r="L224" s="39" t="n"/>
      <c r="M224" s="39" t="n"/>
      <c r="N224" s="39" t="n"/>
      <c r="O224" s="39" t="n"/>
      <c r="P224" s="39" t="n"/>
    </row>
    <row r="225" ht="18" customHeight="1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43" t="n"/>
      <c r="J225" s="39" t="n"/>
      <c r="K225" s="39" t="n"/>
      <c r="L225" s="39" t="n"/>
      <c r="M225" s="39" t="n"/>
      <c r="N225" s="39" t="n"/>
      <c r="O225" s="39" t="n"/>
      <c r="P225" s="39" t="n"/>
    </row>
    <row r="226" ht="18" customHeight="1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43" t="n"/>
      <c r="J226" s="39" t="n"/>
      <c r="K226" s="39" t="n"/>
      <c r="L226" s="39" t="n"/>
      <c r="M226" s="39" t="n"/>
      <c r="N226" s="39" t="n"/>
      <c r="O226" s="39" t="n"/>
      <c r="P226" s="39" t="n"/>
    </row>
    <row r="227" ht="18" customHeight="1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43" t="n"/>
      <c r="J227" s="39" t="n"/>
      <c r="K227" s="39" t="n"/>
      <c r="L227" s="39" t="n"/>
      <c r="M227" s="39" t="n"/>
      <c r="N227" s="39" t="n"/>
      <c r="O227" s="39" t="n"/>
      <c r="P227" s="39" t="n"/>
    </row>
    <row r="228" ht="18" customHeight="1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43" t="n"/>
      <c r="J228" s="39" t="n"/>
      <c r="K228" s="39" t="n"/>
      <c r="L228" s="39" t="n"/>
      <c r="M228" s="39" t="n"/>
      <c r="N228" s="39" t="n"/>
      <c r="O228" s="39" t="n"/>
      <c r="P228" s="39" t="n"/>
    </row>
    <row r="229" ht="18" customHeight="1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43" t="n"/>
      <c r="J229" s="39" t="n"/>
      <c r="K229" s="39" t="n"/>
      <c r="L229" s="39" t="n"/>
      <c r="M229" s="39" t="n"/>
      <c r="N229" s="39" t="n"/>
      <c r="O229" s="39" t="n"/>
      <c r="P229" s="39" t="n"/>
    </row>
    <row r="230" ht="18" customHeight="1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43" t="n"/>
      <c r="J230" s="39" t="n"/>
      <c r="K230" s="39" t="n"/>
      <c r="L230" s="39" t="n"/>
      <c r="M230" s="39" t="n"/>
      <c r="N230" s="39" t="n"/>
      <c r="O230" s="39" t="n"/>
      <c r="P230" s="39" t="n"/>
    </row>
    <row r="231" ht="18" customHeight="1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43" t="n"/>
      <c r="J231" s="39" t="n"/>
      <c r="K231" s="39" t="n"/>
      <c r="L231" s="39" t="n"/>
      <c r="M231" s="39" t="n"/>
      <c r="N231" s="39" t="n"/>
      <c r="O231" s="39" t="n"/>
      <c r="P231" s="39" t="n"/>
    </row>
    <row r="232" ht="18" customHeight="1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43" t="n"/>
      <c r="J232" s="39" t="n"/>
      <c r="K232" s="39" t="n"/>
      <c r="L232" s="39" t="n"/>
      <c r="M232" s="39" t="n"/>
      <c r="N232" s="39" t="n"/>
      <c r="O232" s="39" t="n"/>
      <c r="P232" s="39" t="n"/>
    </row>
    <row r="233" ht="18" customHeight="1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43" t="n"/>
      <c r="J233" s="39" t="n"/>
      <c r="K233" s="39" t="n"/>
      <c r="L233" s="39" t="n"/>
      <c r="M233" s="39" t="n"/>
      <c r="N233" s="39" t="n"/>
      <c r="O233" s="39" t="n"/>
      <c r="P233" s="39" t="n"/>
    </row>
    <row r="234" ht="18" customHeight="1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43" t="n"/>
      <c r="J234" s="39" t="n"/>
      <c r="K234" s="39" t="n"/>
      <c r="L234" s="39" t="n"/>
      <c r="M234" s="39" t="n"/>
      <c r="N234" s="39" t="n"/>
      <c r="O234" s="39" t="n"/>
      <c r="P234" s="39" t="n"/>
    </row>
    <row r="235" ht="18" customHeight="1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43" t="n"/>
      <c r="J235" s="39" t="n"/>
      <c r="K235" s="39" t="n"/>
      <c r="L235" s="39" t="n"/>
      <c r="M235" s="39" t="n"/>
      <c r="N235" s="39" t="n"/>
      <c r="O235" s="39" t="n"/>
      <c r="P235" s="39" t="n"/>
    </row>
    <row r="236" ht="18" customHeight="1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43" t="n"/>
      <c r="J236" s="39" t="n"/>
      <c r="K236" s="39" t="n"/>
      <c r="L236" s="39" t="n"/>
      <c r="M236" s="39" t="n"/>
      <c r="N236" s="39" t="n"/>
      <c r="O236" s="39" t="n"/>
      <c r="P236" s="39" t="n"/>
    </row>
    <row r="237" ht="18" customHeight="1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43" t="n"/>
      <c r="J237" s="39" t="n"/>
      <c r="K237" s="39" t="n"/>
      <c r="L237" s="39" t="n"/>
      <c r="M237" s="39" t="n"/>
      <c r="N237" s="39" t="n"/>
      <c r="O237" s="39" t="n"/>
      <c r="P237" s="39" t="n"/>
    </row>
    <row r="238" ht="18" customHeight="1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43" t="n"/>
      <c r="J238" s="39" t="n"/>
      <c r="K238" s="39" t="n"/>
      <c r="L238" s="39" t="n"/>
      <c r="M238" s="39" t="n"/>
      <c r="N238" s="39" t="n"/>
      <c r="O238" s="39" t="n"/>
      <c r="P238" s="39" t="n"/>
    </row>
    <row r="239" ht="18" customHeight="1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43" t="n"/>
      <c r="J239" s="39" t="n"/>
      <c r="K239" s="39" t="n"/>
      <c r="L239" s="39" t="n"/>
      <c r="M239" s="39" t="n"/>
      <c r="N239" s="39" t="n"/>
      <c r="O239" s="39" t="n"/>
      <c r="P239" s="39" t="n"/>
    </row>
    <row r="240" ht="18" customHeight="1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43" t="n"/>
      <c r="J240" s="39" t="n"/>
      <c r="K240" s="39" t="n"/>
      <c r="L240" s="39" t="n"/>
      <c r="M240" s="39" t="n"/>
      <c r="N240" s="39" t="n"/>
      <c r="O240" s="39" t="n"/>
      <c r="P240" s="39" t="n"/>
    </row>
    <row r="241" ht="18" customHeight="1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43" t="n"/>
      <c r="J241" s="39" t="n"/>
      <c r="K241" s="39" t="n"/>
      <c r="L241" s="39" t="n"/>
      <c r="M241" s="39" t="n"/>
      <c r="N241" s="39" t="n"/>
      <c r="O241" s="39" t="n"/>
      <c r="P241" s="39" t="n"/>
    </row>
    <row r="242" ht="18" customHeight="1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43" t="n"/>
      <c r="J242" s="39" t="n"/>
      <c r="K242" s="39" t="n"/>
      <c r="L242" s="39" t="n"/>
      <c r="M242" s="39" t="n"/>
      <c r="N242" s="39" t="n"/>
      <c r="O242" s="39" t="n"/>
      <c r="P242" s="39" t="n"/>
    </row>
    <row r="243" ht="18" customHeight="1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43" t="n"/>
      <c r="J243" s="39" t="n"/>
      <c r="K243" s="39" t="n"/>
      <c r="L243" s="39" t="n"/>
      <c r="M243" s="39" t="n"/>
      <c r="N243" s="39" t="n"/>
      <c r="O243" s="39" t="n"/>
      <c r="P243" s="39" t="n"/>
    </row>
    <row r="244" ht="18" customHeight="1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43" t="n"/>
      <c r="J244" s="39" t="n"/>
      <c r="K244" s="39" t="n"/>
      <c r="L244" s="39" t="n"/>
      <c r="M244" s="39" t="n"/>
      <c r="N244" s="39" t="n"/>
      <c r="O244" s="39" t="n"/>
      <c r="P244" s="39" t="n"/>
    </row>
    <row r="245" ht="18" customHeight="1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43" t="n"/>
      <c r="J245" s="39" t="n"/>
      <c r="K245" s="39" t="n"/>
      <c r="L245" s="39" t="n"/>
      <c r="M245" s="39" t="n"/>
      <c r="N245" s="39" t="n"/>
      <c r="O245" s="39" t="n"/>
      <c r="P245" s="39" t="n"/>
    </row>
    <row r="246" ht="18" customHeight="1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43" t="n"/>
      <c r="J246" s="39" t="n"/>
      <c r="K246" s="39" t="n"/>
      <c r="L246" s="39" t="n"/>
      <c r="M246" s="39" t="n"/>
      <c r="N246" s="39" t="n"/>
      <c r="O246" s="39" t="n"/>
      <c r="P246" s="39" t="n"/>
    </row>
    <row r="247" ht="18" customHeight="1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43" t="n"/>
      <c r="J247" s="39" t="n"/>
      <c r="K247" s="39" t="n"/>
      <c r="L247" s="39" t="n"/>
      <c r="M247" s="39" t="n"/>
      <c r="N247" s="39" t="n"/>
      <c r="O247" s="39" t="n"/>
      <c r="P247" s="39" t="n"/>
    </row>
    <row r="248" ht="18" customHeight="1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43" t="n"/>
      <c r="J248" s="39" t="n"/>
      <c r="K248" s="39" t="n"/>
      <c r="L248" s="39" t="n"/>
      <c r="M248" s="39" t="n"/>
      <c r="N248" s="39" t="n"/>
      <c r="O248" s="39" t="n"/>
      <c r="P248" s="39" t="n"/>
    </row>
    <row r="249" ht="18" customHeight="1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43" t="n"/>
      <c r="J249" s="39" t="n"/>
      <c r="K249" s="39" t="n"/>
      <c r="L249" s="39" t="n"/>
      <c r="M249" s="39" t="n"/>
      <c r="N249" s="39" t="n"/>
      <c r="O249" s="39" t="n"/>
      <c r="P249" s="39" t="n"/>
    </row>
    <row r="250" ht="18" customHeight="1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43" t="n"/>
      <c r="J250" s="39" t="n"/>
      <c r="K250" s="39" t="n"/>
      <c r="L250" s="39" t="n"/>
      <c r="M250" s="39" t="n"/>
      <c r="N250" s="39" t="n"/>
      <c r="O250" s="39" t="n"/>
      <c r="P250" s="39" t="n"/>
    </row>
    <row r="251" ht="18" customHeight="1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43" t="n"/>
      <c r="J251" s="39" t="n"/>
      <c r="K251" s="39" t="n"/>
      <c r="L251" s="39" t="n"/>
      <c r="M251" s="39" t="n"/>
      <c r="N251" s="39" t="n"/>
      <c r="O251" s="39" t="n"/>
      <c r="P251" s="39" t="n"/>
    </row>
    <row r="252" ht="18" customHeight="1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43" t="n"/>
      <c r="J252" s="39" t="n"/>
      <c r="K252" s="39" t="n"/>
      <c r="L252" s="39" t="n"/>
      <c r="M252" s="39" t="n"/>
      <c r="N252" s="39" t="n"/>
      <c r="O252" s="39" t="n"/>
      <c r="P252" s="39" t="n"/>
    </row>
    <row r="253" ht="18" customHeight="1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43" t="n"/>
      <c r="J253" s="39" t="n"/>
      <c r="K253" s="39" t="n"/>
      <c r="L253" s="39" t="n"/>
      <c r="M253" s="39" t="n"/>
      <c r="N253" s="39" t="n"/>
      <c r="O253" s="39" t="n"/>
      <c r="P253" s="39" t="n"/>
    </row>
    <row r="254" ht="18" customHeight="1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43" t="n"/>
      <c r="J254" s="39" t="n"/>
      <c r="K254" s="39" t="n"/>
      <c r="L254" s="39" t="n"/>
      <c r="M254" s="39" t="n"/>
      <c r="N254" s="39" t="n"/>
      <c r="O254" s="39" t="n"/>
      <c r="P254" s="39" t="n"/>
    </row>
    <row r="255" ht="18" customHeight="1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43" t="n"/>
      <c r="J255" s="39" t="n"/>
      <c r="K255" s="39" t="n"/>
      <c r="L255" s="39" t="n"/>
      <c r="M255" s="39" t="n"/>
      <c r="N255" s="39" t="n"/>
      <c r="O255" s="39" t="n"/>
      <c r="P255" s="39" t="n"/>
    </row>
    <row r="256" ht="18" customHeight="1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43" t="n"/>
      <c r="J256" s="39" t="n"/>
      <c r="K256" s="39" t="n"/>
      <c r="L256" s="39" t="n"/>
      <c r="M256" s="39" t="n"/>
      <c r="N256" s="39" t="n"/>
      <c r="O256" s="39" t="n"/>
      <c r="P256" s="39" t="n"/>
    </row>
    <row r="257" ht="18" customHeight="1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43" t="n"/>
      <c r="J257" s="39" t="n"/>
      <c r="K257" s="39" t="n"/>
      <c r="L257" s="39" t="n"/>
      <c r="M257" s="39" t="n"/>
      <c r="N257" s="39" t="n"/>
      <c r="O257" s="39" t="n"/>
      <c r="P257" s="39" t="n"/>
    </row>
    <row r="258" ht="18" customHeight="1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43" t="n"/>
      <c r="J258" s="39" t="n"/>
      <c r="K258" s="39" t="n"/>
      <c r="L258" s="39" t="n"/>
      <c r="M258" s="39" t="n"/>
      <c r="N258" s="39" t="n"/>
      <c r="O258" s="39" t="n"/>
      <c r="P258" s="39" t="n"/>
    </row>
    <row r="259" ht="18" customHeight="1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43" t="n"/>
      <c r="J259" s="39" t="n"/>
      <c r="K259" s="39" t="n"/>
      <c r="L259" s="39" t="n"/>
      <c r="M259" s="39" t="n"/>
      <c r="N259" s="39" t="n"/>
      <c r="O259" s="39" t="n"/>
      <c r="P259" s="39" t="n"/>
    </row>
    <row r="260" ht="18" customHeight="1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43" t="n"/>
      <c r="J260" s="39" t="n"/>
      <c r="K260" s="39" t="n"/>
      <c r="L260" s="39" t="n"/>
      <c r="M260" s="39" t="n"/>
      <c r="N260" s="39" t="n"/>
      <c r="O260" s="39" t="n"/>
      <c r="P260" s="39" t="n"/>
    </row>
    <row r="261" ht="18" customHeight="1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43" t="n"/>
      <c r="J261" s="39" t="n"/>
      <c r="K261" s="39" t="n"/>
      <c r="L261" s="39" t="n"/>
      <c r="M261" s="39" t="n"/>
      <c r="N261" s="39" t="n"/>
      <c r="O261" s="39" t="n"/>
      <c r="P261" s="39" t="n"/>
    </row>
    <row r="262" ht="18" customHeight="1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43" t="n"/>
      <c r="J262" s="39" t="n"/>
      <c r="K262" s="39" t="n"/>
      <c r="L262" s="39" t="n"/>
      <c r="M262" s="39" t="n"/>
      <c r="N262" s="39" t="n"/>
      <c r="O262" s="39" t="n"/>
      <c r="P262" s="39" t="n"/>
    </row>
    <row r="263" ht="18" customHeight="1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43" t="n"/>
      <c r="J263" s="39" t="n"/>
      <c r="K263" s="39" t="n"/>
      <c r="L263" s="39" t="n"/>
      <c r="M263" s="39" t="n"/>
      <c r="N263" s="39" t="n"/>
      <c r="O263" s="39" t="n"/>
      <c r="P263" s="39" t="n"/>
    </row>
    <row r="264" ht="18" customHeight="1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43" t="n"/>
      <c r="J264" s="39" t="n"/>
      <c r="K264" s="39" t="n"/>
      <c r="L264" s="39" t="n"/>
      <c r="M264" s="39" t="n"/>
      <c r="N264" s="39" t="n"/>
      <c r="O264" s="39" t="n"/>
      <c r="P264" s="39" t="n"/>
    </row>
    <row r="265" ht="18" customHeight="1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43" t="n"/>
      <c r="J265" s="39" t="n"/>
      <c r="K265" s="39" t="n"/>
      <c r="L265" s="39" t="n"/>
      <c r="M265" s="39" t="n"/>
      <c r="N265" s="39" t="n"/>
      <c r="O265" s="39" t="n"/>
      <c r="P265" s="39" t="n"/>
    </row>
    <row r="266" ht="18" customHeight="1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43" t="n"/>
      <c r="J266" s="39" t="n"/>
      <c r="K266" s="39" t="n"/>
      <c r="L266" s="39" t="n"/>
      <c r="M266" s="39" t="n"/>
      <c r="N266" s="39" t="n"/>
      <c r="O266" s="39" t="n"/>
      <c r="P266" s="39" t="n"/>
    </row>
    <row r="267" ht="18" customHeight="1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43" t="n"/>
      <c r="J267" s="39" t="n"/>
      <c r="K267" s="39" t="n"/>
      <c r="L267" s="39" t="n"/>
      <c r="M267" s="39" t="n"/>
      <c r="N267" s="39" t="n"/>
      <c r="O267" s="39" t="n"/>
      <c r="P267" s="39" t="n"/>
    </row>
    <row r="268" ht="18" customHeight="1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43" t="n"/>
      <c r="J268" s="39" t="n"/>
      <c r="K268" s="39" t="n"/>
      <c r="L268" s="39" t="n"/>
      <c r="M268" s="39" t="n"/>
      <c r="N268" s="39" t="n"/>
      <c r="O268" s="39" t="n"/>
      <c r="P268" s="39" t="n"/>
    </row>
    <row r="269" ht="18" customHeight="1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43" t="n"/>
      <c r="J269" s="39" t="n"/>
      <c r="K269" s="39" t="n"/>
      <c r="L269" s="39" t="n"/>
      <c r="M269" s="39" t="n"/>
      <c r="N269" s="39" t="n"/>
      <c r="O269" s="39" t="n"/>
      <c r="P269" s="39" t="n"/>
    </row>
    <row r="270" ht="18" customHeight="1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43" t="n"/>
      <c r="J270" s="39" t="n"/>
      <c r="K270" s="39" t="n"/>
      <c r="L270" s="39" t="n"/>
      <c r="M270" s="39" t="n"/>
      <c r="N270" s="39" t="n"/>
      <c r="O270" s="39" t="n"/>
      <c r="P270" s="39" t="n"/>
    </row>
    <row r="271" ht="18" customHeight="1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43" t="n"/>
      <c r="J271" s="39" t="n"/>
      <c r="K271" s="39" t="n"/>
      <c r="L271" s="39" t="n"/>
      <c r="M271" s="39" t="n"/>
      <c r="N271" s="39" t="n"/>
      <c r="O271" s="39" t="n"/>
      <c r="P271" s="39" t="n"/>
    </row>
    <row r="272" ht="18" customHeight="1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43" t="n"/>
      <c r="J272" s="39" t="n"/>
      <c r="K272" s="39" t="n"/>
      <c r="L272" s="39" t="n"/>
      <c r="M272" s="39" t="n"/>
      <c r="N272" s="39" t="n"/>
      <c r="O272" s="39" t="n"/>
      <c r="P272" s="39" t="n"/>
    </row>
    <row r="273" ht="18" customHeight="1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43" t="n"/>
      <c r="J273" s="39" t="n"/>
      <c r="K273" s="39" t="n"/>
      <c r="L273" s="39" t="n"/>
      <c r="M273" s="39" t="n"/>
      <c r="N273" s="39" t="n"/>
      <c r="O273" s="39" t="n"/>
      <c r="P273" s="39" t="n"/>
    </row>
    <row r="274" ht="18" customHeight="1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43" t="n"/>
      <c r="J274" s="39" t="n"/>
      <c r="K274" s="39" t="n"/>
      <c r="L274" s="39" t="n"/>
      <c r="M274" s="39" t="n"/>
      <c r="N274" s="39" t="n"/>
      <c r="O274" s="39" t="n"/>
      <c r="P274" s="39" t="n"/>
    </row>
    <row r="275" ht="18" customHeight="1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43" t="n"/>
      <c r="J275" s="39" t="n"/>
      <c r="K275" s="39" t="n"/>
      <c r="L275" s="39" t="n"/>
      <c r="M275" s="39" t="n"/>
      <c r="N275" s="39" t="n"/>
      <c r="O275" s="39" t="n"/>
      <c r="P275" s="39" t="n"/>
    </row>
    <row r="276" ht="18" customHeight="1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43" t="n"/>
      <c r="J276" s="39" t="n"/>
      <c r="K276" s="39" t="n"/>
      <c r="L276" s="39" t="n"/>
      <c r="M276" s="39" t="n"/>
      <c r="N276" s="39" t="n"/>
      <c r="O276" s="39" t="n"/>
      <c r="P276" s="39" t="n"/>
    </row>
    <row r="277" ht="18" customHeight="1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43" t="n"/>
      <c r="J277" s="39" t="n"/>
      <c r="K277" s="39" t="n"/>
      <c r="L277" s="39" t="n"/>
      <c r="M277" s="39" t="n"/>
      <c r="N277" s="39" t="n"/>
      <c r="O277" s="39" t="n"/>
      <c r="P277" s="39" t="n"/>
    </row>
    <row r="278" ht="18" customHeight="1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43" t="n"/>
      <c r="J278" s="39" t="n"/>
      <c r="K278" s="39" t="n"/>
      <c r="L278" s="39" t="n"/>
      <c r="M278" s="39" t="n"/>
      <c r="N278" s="39" t="n"/>
      <c r="O278" s="39" t="n"/>
      <c r="P278" s="39" t="n"/>
    </row>
    <row r="279" ht="18" customHeight="1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43" t="n"/>
      <c r="J279" s="39" t="n"/>
      <c r="K279" s="39" t="n"/>
      <c r="L279" s="39" t="n"/>
      <c r="M279" s="39" t="n"/>
      <c r="N279" s="39" t="n"/>
      <c r="O279" s="39" t="n"/>
      <c r="P279" s="39" t="n"/>
    </row>
    <row r="280" ht="18" customHeight="1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43" t="n"/>
      <c r="J280" s="39" t="n"/>
      <c r="K280" s="39" t="n"/>
      <c r="L280" s="39" t="n"/>
      <c r="M280" s="39" t="n"/>
      <c r="N280" s="39" t="n"/>
      <c r="O280" s="39" t="n"/>
      <c r="P280" s="39" t="n"/>
    </row>
    <row r="281" ht="18" customHeight="1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43" t="n"/>
      <c r="J281" s="39" t="n"/>
      <c r="K281" s="39" t="n"/>
      <c r="L281" s="39" t="n"/>
      <c r="M281" s="39" t="n"/>
      <c r="N281" s="39" t="n"/>
      <c r="O281" s="39" t="n"/>
      <c r="P281" s="39" t="n"/>
    </row>
    <row r="282" ht="18" customHeight="1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43" t="n"/>
      <c r="J282" s="39" t="n"/>
      <c r="K282" s="39" t="n"/>
      <c r="L282" s="39" t="n"/>
      <c r="M282" s="39" t="n"/>
      <c r="N282" s="39" t="n"/>
      <c r="O282" s="39" t="n"/>
      <c r="P282" s="39" t="n"/>
    </row>
    <row r="283" ht="18" customHeight="1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43" t="n"/>
      <c r="J283" s="39" t="n"/>
      <c r="K283" s="39" t="n"/>
      <c r="L283" s="39" t="n"/>
      <c r="M283" s="39" t="n"/>
      <c r="N283" s="39" t="n"/>
      <c r="O283" s="39" t="n"/>
      <c r="P283" s="39" t="n"/>
    </row>
    <row r="284" ht="18" customHeight="1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43" t="n"/>
      <c r="J284" s="39" t="n"/>
      <c r="K284" s="39" t="n"/>
      <c r="L284" s="39" t="n"/>
      <c r="M284" s="39" t="n"/>
      <c r="N284" s="39" t="n"/>
      <c r="O284" s="39" t="n"/>
      <c r="P284" s="39" t="n"/>
    </row>
    <row r="285" ht="18" customHeight="1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43" t="n"/>
      <c r="J285" s="39" t="n"/>
      <c r="K285" s="39" t="n"/>
      <c r="L285" s="39" t="n"/>
      <c r="M285" s="39" t="n"/>
      <c r="N285" s="39" t="n"/>
      <c r="O285" s="39" t="n"/>
      <c r="P285" s="39" t="n"/>
    </row>
    <row r="286" ht="18" customHeight="1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43" t="n"/>
      <c r="J286" s="39" t="n"/>
      <c r="K286" s="39" t="n"/>
      <c r="L286" s="39" t="n"/>
      <c r="M286" s="39" t="n"/>
      <c r="N286" s="39" t="n"/>
      <c r="O286" s="39" t="n"/>
      <c r="P286" s="39" t="n"/>
    </row>
    <row r="287" ht="18" customHeight="1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43" t="n"/>
      <c r="J287" s="39" t="n"/>
      <c r="K287" s="39" t="n"/>
      <c r="L287" s="39" t="n"/>
      <c r="M287" s="39" t="n"/>
      <c r="N287" s="39" t="n"/>
      <c r="O287" s="39" t="n"/>
      <c r="P287" s="39" t="n"/>
    </row>
    <row r="288" ht="18" customHeight="1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43" t="n"/>
      <c r="J288" s="39" t="n"/>
      <c r="K288" s="39" t="n"/>
      <c r="L288" s="39" t="n"/>
      <c r="M288" s="39" t="n"/>
      <c r="N288" s="39" t="n"/>
      <c r="O288" s="39" t="n"/>
      <c r="P288" s="39" t="n"/>
    </row>
    <row r="289" ht="18" customHeight="1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43" t="n"/>
      <c r="J289" s="39" t="n"/>
      <c r="K289" s="39" t="n"/>
      <c r="L289" s="39" t="n"/>
      <c r="M289" s="39" t="n"/>
      <c r="N289" s="39" t="n"/>
      <c r="O289" s="39" t="n"/>
      <c r="P289" s="39" t="n"/>
    </row>
    <row r="290" ht="18" customHeight="1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43" t="n"/>
      <c r="J290" s="39" t="n"/>
      <c r="K290" s="39" t="n"/>
      <c r="L290" s="39" t="n"/>
      <c r="M290" s="39" t="n"/>
      <c r="N290" s="39" t="n"/>
      <c r="O290" s="39" t="n"/>
      <c r="P290" s="39" t="n"/>
    </row>
    <row r="291" ht="18" customHeight="1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43" t="n"/>
      <c r="J291" s="39" t="n"/>
      <c r="K291" s="39" t="n"/>
      <c r="L291" s="39" t="n"/>
      <c r="M291" s="39" t="n"/>
      <c r="N291" s="39" t="n"/>
      <c r="O291" s="39" t="n"/>
      <c r="P291" s="39" t="n"/>
    </row>
    <row r="292" ht="18" customHeight="1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43" t="n"/>
      <c r="J292" s="39" t="n"/>
      <c r="K292" s="39" t="n"/>
      <c r="L292" s="39" t="n"/>
      <c r="M292" s="39" t="n"/>
      <c r="N292" s="39" t="n"/>
      <c r="O292" s="39" t="n"/>
      <c r="P292" s="39" t="n"/>
    </row>
    <row r="293" ht="18" customHeight="1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43" t="n"/>
      <c r="J293" s="39" t="n"/>
      <c r="K293" s="39" t="n"/>
      <c r="L293" s="39" t="n"/>
      <c r="M293" s="39" t="n"/>
      <c r="N293" s="39" t="n"/>
      <c r="O293" s="39" t="n"/>
      <c r="P293" s="39" t="n"/>
    </row>
    <row r="294" ht="18" customHeight="1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43" t="n"/>
      <c r="J294" s="39" t="n"/>
      <c r="K294" s="39" t="n"/>
      <c r="L294" s="39" t="n"/>
      <c r="M294" s="39" t="n"/>
      <c r="N294" s="39" t="n"/>
      <c r="O294" s="39" t="n"/>
      <c r="P294" s="39" t="n"/>
    </row>
    <row r="295" ht="18" customHeight="1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43" t="n"/>
      <c r="J295" s="39" t="n"/>
      <c r="K295" s="39" t="n"/>
      <c r="L295" s="39" t="n"/>
      <c r="M295" s="39" t="n"/>
      <c r="N295" s="39" t="n"/>
      <c r="O295" s="39" t="n"/>
      <c r="P295" s="39" t="n"/>
    </row>
    <row r="296" ht="18" customHeight="1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43" t="n"/>
      <c r="J296" s="39" t="n"/>
      <c r="K296" s="39" t="n"/>
      <c r="L296" s="39" t="n"/>
      <c r="M296" s="39" t="n"/>
      <c r="N296" s="39" t="n"/>
      <c r="O296" s="39" t="n"/>
      <c r="P296" s="39" t="n"/>
    </row>
    <row r="297" ht="18" customHeight="1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43" t="n"/>
      <c r="J297" s="39" t="n"/>
      <c r="K297" s="39" t="n"/>
      <c r="L297" s="39" t="n"/>
      <c r="M297" s="39" t="n"/>
      <c r="N297" s="39" t="n"/>
      <c r="O297" s="39" t="n"/>
      <c r="P297" s="39" t="n"/>
    </row>
    <row r="298" ht="18" customHeight="1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43" t="n"/>
      <c r="J298" s="39" t="n"/>
      <c r="K298" s="39" t="n"/>
      <c r="L298" s="39" t="n"/>
      <c r="M298" s="39" t="n"/>
      <c r="N298" s="39" t="n"/>
      <c r="O298" s="39" t="n"/>
      <c r="P298" s="39" t="n"/>
    </row>
    <row r="299" ht="18" customHeight="1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43" t="n"/>
      <c r="J299" s="39" t="n"/>
      <c r="K299" s="39" t="n"/>
      <c r="L299" s="39" t="n"/>
      <c r="M299" s="39" t="n"/>
      <c r="N299" s="39" t="n"/>
      <c r="O299" s="39" t="n"/>
      <c r="P299" s="39" t="n"/>
    </row>
    <row r="300" ht="18" customHeight="1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43" t="n"/>
      <c r="J300" s="39" t="n"/>
      <c r="K300" s="39" t="n"/>
      <c r="L300" s="39" t="n"/>
      <c r="M300" s="39" t="n"/>
      <c r="N300" s="39" t="n"/>
      <c r="O300" s="39" t="n"/>
      <c r="P300" s="39" t="n"/>
    </row>
    <row r="301" ht="18" customHeight="1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43" t="n"/>
      <c r="J301" s="39" t="n"/>
      <c r="K301" s="39" t="n"/>
      <c r="L301" s="39" t="n"/>
      <c r="M301" s="39" t="n"/>
      <c r="N301" s="39" t="n"/>
      <c r="O301" s="39" t="n"/>
      <c r="P301" s="39" t="n"/>
    </row>
    <row r="302" ht="18" customHeight="1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43" t="n"/>
      <c r="J302" s="39" t="n"/>
      <c r="K302" s="39" t="n"/>
      <c r="L302" s="39" t="n"/>
      <c r="M302" s="39" t="n"/>
      <c r="N302" s="39" t="n"/>
      <c r="O302" s="39" t="n"/>
      <c r="P302" s="39" t="n"/>
    </row>
    <row r="303" ht="18" customHeight="1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43" t="n"/>
      <c r="J303" s="39" t="n"/>
      <c r="K303" s="39" t="n"/>
      <c r="L303" s="39" t="n"/>
      <c r="M303" s="39" t="n"/>
      <c r="N303" s="39" t="n"/>
      <c r="O303" s="39" t="n"/>
      <c r="P303" s="39" t="n"/>
    </row>
    <row r="304" ht="18" customHeight="1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43" t="n"/>
      <c r="J304" s="39" t="n"/>
      <c r="K304" s="39" t="n"/>
      <c r="L304" s="39" t="n"/>
      <c r="M304" s="39" t="n"/>
      <c r="N304" s="39" t="n"/>
      <c r="O304" s="39" t="n"/>
      <c r="P304" s="39" t="n"/>
    </row>
  </sheetData>
  <autoFilter ref="A4:P4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2" customWidth="1" min="5" max="5"/>
    <col width="16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6" customHeight="1">
      <c r="A1" s="1" t="inlineStr">
        <is>
          <t>RELATÓRIO DIÁRIO DE ABATE</t>
        </is>
      </c>
    </row>
    <row r="2" ht="22" customHeight="1">
      <c r="A2" s="2" t="inlineStr">
        <is>
          <t>Resumo automático por data — altere apenas a célula de data de referência (B5)</t>
        </is>
      </c>
    </row>
    <row r="4" ht="26" customHeight="1">
      <c r="A4" s="44" t="inlineStr">
        <is>
          <t>DATA DE REFERÊNCIA:</t>
        </is>
      </c>
      <c r="D4" s="45" t="n">
        <v>46247</v>
      </c>
    </row>
    <row r="6" ht="18" customHeight="1">
      <c r="A6" s="46" t="inlineStr">
        <is>
          <t>⚙  Esta aba usa a data em D4 como filtro. Altere D4 para consultar qualquer data.</t>
        </is>
      </c>
    </row>
    <row r="7" ht="18" customHeight="1">
      <c r="A7" s="46" t="inlineStr">
        <is>
          <t>📋  Os dados são puxados automaticamente das abas AGENDAMENTOS, RECEBIMENTO e ABATE.</t>
        </is>
      </c>
    </row>
    <row r="8" ht="18" customHeight="1">
      <c r="A8" s="46" t="inlineStr"/>
    </row>
    <row r="9" ht="22" customHeight="1">
      <c r="A9" s="19" t="inlineStr">
        <is>
          <t>LOTES AGENDADOS PARA ESTA DATA</t>
        </is>
      </c>
    </row>
    <row r="10" ht="22" customHeight="1">
      <c r="A10" s="47" t="inlineStr">
        <is>
          <t>ID LOTE</t>
        </is>
      </c>
      <c r="B10" s="47" t="inlineStr">
        <is>
          <t>COLONO</t>
        </is>
      </c>
      <c r="C10" s="47" t="inlineStr">
        <is>
          <t>MUNICÍPIO</t>
        </is>
      </c>
      <c r="D10" s="47" t="inlineStr">
        <is>
          <t>HORA PREV.</t>
        </is>
      </c>
      <c r="E10" s="47" t="inlineStr">
        <is>
          <t>QTD PREV.</t>
        </is>
      </c>
      <c r="F10" s="47" t="inlineStr">
        <is>
          <t>PESO EST. (kg)</t>
        </is>
      </c>
      <c r="G10" s="47" t="inlineStr">
        <is>
          <t>STATUS</t>
        </is>
      </c>
    </row>
    <row r="11">
      <c r="A11" s="48" t="inlineStr">
        <is>
          <t>[Os lotes agendados para a data em D4 serão exibidos aqui automaticamente via filtro manual ou VBA]</t>
        </is>
      </c>
    </row>
  </sheetData>
  <mergeCells count="9">
    <mergeCell ref="A2:L2"/>
    <mergeCell ref="A7:L7"/>
    <mergeCell ref="A1:L1"/>
    <mergeCell ref="D4:F4"/>
    <mergeCell ref="A8:L8"/>
    <mergeCell ref="A6:L6"/>
    <mergeCell ref="A9:L9"/>
    <mergeCell ref="A4:C4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2" customWidth="1" min="3" max="3"/>
  </cols>
  <sheetData>
    <row r="1" ht="36" customHeight="1">
      <c r="A1" s="1" t="inlineStr">
        <is>
          <t>LEGENDA E INSTRUÇÕES DE USO</t>
        </is>
      </c>
    </row>
    <row r="2" ht="22" customHeight="1">
      <c r="A2" s="2" t="inlineStr">
        <is>
          <t>Como preencher e interpretar cada aba da planilha</t>
        </is>
      </c>
    </row>
    <row r="4" ht="26" customHeight="1">
      <c r="A4" s="31" t="inlineStr">
        <is>
          <t>ABA</t>
        </is>
      </c>
      <c r="B4" s="49" t="inlineStr">
        <is>
          <t>FINALIDADE</t>
        </is>
      </c>
      <c r="C4" s="49" t="inlineStr">
        <is>
          <t>COMO USAR</t>
        </is>
      </c>
    </row>
    <row r="5" ht="26" customHeight="1">
      <c r="A5" s="50" t="inlineStr">
        <is>
          <t>DASHBOARD</t>
        </is>
      </c>
      <c r="B5" s="51" t="inlineStr">
        <is>
          <t>Painel geral com KPIs e situação dos lotes.</t>
        </is>
      </c>
      <c r="C5" s="51" t="inlineStr">
        <is>
          <t>Somente leitura — atualiza automaticamente.</t>
        </is>
      </c>
    </row>
    <row r="6" ht="26" customHeight="1">
      <c r="A6" s="52" t="inlineStr">
        <is>
          <t>COLONOS</t>
        </is>
      </c>
      <c r="B6" s="53" t="inlineStr">
        <is>
          <t>Cadastro dos produtores/fornecedores.</t>
        </is>
      </c>
      <c r="C6" s="53" t="inlineStr">
        <is>
          <t>Preencha um colono por linha. O ID (COL-XXX) será usado nas outras abas.</t>
        </is>
      </c>
    </row>
    <row r="7" ht="26" customHeight="1">
      <c r="A7" s="54" t="inlineStr">
        <is>
          <t>AGENDAMENTOS</t>
        </is>
      </c>
      <c r="B7" s="55" t="inlineStr">
        <is>
          <t>Registro de lotes agendados para chegar.</t>
        </is>
      </c>
      <c r="C7" s="55" t="inlineStr">
        <is>
          <t>Preencha ao agendar o colono. Atualize o STATUS conforme o lote avança.</t>
        </is>
      </c>
    </row>
    <row r="8" ht="26" customHeight="1">
      <c r="A8" s="56" t="inlineStr">
        <is>
          <t>RECEBIMENTO</t>
        </is>
      </c>
      <c r="B8" s="57" t="inlineStr">
        <is>
          <t>Registro de lotes que chegaram na unidade.</t>
        </is>
      </c>
      <c r="C8" s="57" t="inlineStr">
        <is>
          <t>Preencha ao receber o caminhão. Inclua pesagem e condição dos animais.</t>
        </is>
      </c>
    </row>
    <row r="9" ht="26" customHeight="1">
      <c r="A9" s="58" t="inlineStr">
        <is>
          <t>ABATE</t>
        </is>
      </c>
      <c r="B9" s="59" t="inlineStr">
        <is>
          <t>Registro do abate e inspeção sanitária.</t>
        </is>
      </c>
      <c r="C9" s="59" t="inlineStr">
        <is>
          <t>Preencha após o abate. Registre rendimento de carcaça e condenações.</t>
        </is>
      </c>
    </row>
    <row r="10" ht="26" customHeight="1">
      <c r="A10" s="60" t="inlineStr">
        <is>
          <t>RELATORIO_DIARIO</t>
        </is>
      </c>
      <c r="B10" s="61" t="inlineStr">
        <is>
          <t>Resumo do dia filtrado por data.</t>
        </is>
      </c>
      <c r="C10" s="61" t="inlineStr">
        <is>
          <t>Altere a célula D4 para consultar qualquer data.</t>
        </is>
      </c>
    </row>
    <row r="12" ht="24" customHeight="1">
      <c r="A12" s="19" t="inlineStr">
        <is>
          <t>TABELA DE STATUS — SIGNIFICADO E COR</t>
        </is>
      </c>
    </row>
    <row r="13" ht="22" customHeight="1">
      <c r="A13" s="21" t="inlineStr">
        <is>
          <t>AGENDADO</t>
        </is>
      </c>
      <c r="B13" s="62" t="inlineStr">
        <is>
          <t>Lote agendado pelo colono, aguardando chegada.</t>
        </is>
      </c>
    </row>
    <row r="14" ht="22" customHeight="1">
      <c r="A14" s="24" t="inlineStr">
        <is>
          <t>EM TRÂNSITO</t>
        </is>
      </c>
      <c r="B14" s="62" t="inlineStr">
        <is>
          <t>Caminhão a caminho da unidade.</t>
        </is>
      </c>
    </row>
    <row r="15" ht="22" customHeight="1">
      <c r="A15" s="25" t="inlineStr">
        <is>
          <t>RECEBIDO</t>
        </is>
      </c>
      <c r="B15" s="62" t="inlineStr">
        <is>
          <t>Animais chegaram e foram pesados/conferidos.</t>
        </is>
      </c>
    </row>
    <row r="16" ht="22" customHeight="1">
      <c r="A16" s="26" t="inlineStr">
        <is>
          <t>EM DESCANSO</t>
        </is>
      </c>
      <c r="B16" s="62" t="inlineStr">
        <is>
          <t>Animais em descanso pré-abate (dieta hídrica).</t>
        </is>
      </c>
    </row>
    <row r="17" ht="22" customHeight="1">
      <c r="A17" s="27" t="inlineStr">
        <is>
          <t>EM ABATE</t>
        </is>
      </c>
      <c r="B17" s="62" t="inlineStr">
        <is>
          <t>Lote em processo de abate.</t>
        </is>
      </c>
    </row>
    <row r="18" ht="22" customHeight="1">
      <c r="A18" s="28" t="inlineStr">
        <is>
          <t>ABATIDO</t>
        </is>
      </c>
      <c r="B18" s="62" t="inlineStr">
        <is>
          <t>Abate concluído, carcaças processadas.</t>
        </is>
      </c>
    </row>
    <row r="19" ht="22" customHeight="1">
      <c r="A19" s="29" t="inlineStr">
        <is>
          <t>CONDENADO</t>
        </is>
      </c>
      <c r="B19" s="62" t="inlineStr">
        <is>
          <t>Animal(is) reprovado(s) na inspeção SIF.</t>
        </is>
      </c>
    </row>
    <row r="21" ht="20" customHeight="1">
      <c r="A21" s="19" t="inlineStr">
        <is>
          <t>SIGNIFICADO DAS CORES DE CÉLULA</t>
        </is>
      </c>
    </row>
    <row r="22" ht="20" customHeight="1">
      <c r="A22" s="63" t="inlineStr">
        <is>
          <t xml:space="preserve">     EXEMPLO</t>
        </is>
      </c>
      <c r="B22" s="62" t="inlineStr">
        <is>
          <t>Célula de entrada manual — preencha aqui</t>
        </is>
      </c>
    </row>
    <row r="23" ht="20" customHeight="1">
      <c r="A23" s="64" t="inlineStr">
        <is>
          <t xml:space="preserve">     EXEMPLO</t>
        </is>
      </c>
      <c r="B23" s="62" t="inlineStr">
        <is>
          <t>Célula calculada automaticamente — não altere</t>
        </is>
      </c>
    </row>
    <row r="24" ht="20" customHeight="1">
      <c r="A24" s="65" t="inlineStr">
        <is>
          <t xml:space="preserve">     EXEMPLO</t>
        </is>
      </c>
      <c r="B24" s="62" t="inlineStr">
        <is>
          <t>Referência cruzada entre abas</t>
        </is>
      </c>
    </row>
  </sheetData>
  <mergeCells count="14">
    <mergeCell ref="B13:C13"/>
    <mergeCell ref="A2:L2"/>
    <mergeCell ref="B24:C24"/>
    <mergeCell ref="B16:C16"/>
    <mergeCell ref="B15:C15"/>
    <mergeCell ref="B19:C19"/>
    <mergeCell ref="A1:L1"/>
    <mergeCell ref="B23:C23"/>
    <mergeCell ref="B22:C22"/>
    <mergeCell ref="B14:C14"/>
    <mergeCell ref="A21:C21"/>
    <mergeCell ref="B17:C17"/>
    <mergeCell ref="A12:C12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2026-08-13T18:30:51Z</dcterms:created>
  <dcterms:modified xmlns:dcterms="http://purl.org/dc/terms/" xmlns:xsi="http://www.w3.org/2001/XMLSchema-instance" xsi:type="dcterms:W3CDTF">2026-08-13T18:30:53Z</dcterms:modified>
</cp:coreProperties>
</file>