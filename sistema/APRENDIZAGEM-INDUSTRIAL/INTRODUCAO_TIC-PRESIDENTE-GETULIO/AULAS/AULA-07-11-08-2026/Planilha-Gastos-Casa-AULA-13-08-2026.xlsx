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" sheetId="1" r:id="rId5"/>
    <sheet state="visible" name="DESPESA" sheetId="2" r:id="rId6"/>
    <sheet state="visible" name="SALDO-MENSAL" sheetId="3" r:id="rId7"/>
    <sheet state="visible" name="EXEMPLO-FILTROS-CLASSIFICACAO" sheetId="4" r:id="rId8"/>
  </sheets>
  <definedNames>
    <definedName hidden="1" localSheetId="3" name="Z_A5B75023_08CD_49E6_9742_4F9062AF60F7_.wvu.FilterData">'EXEMPLO-FILTROS-CLASSIFICACAO'!$A$1:$G$8</definedName>
    <definedName hidden="1" localSheetId="3" name="Z_54D32C99_442F_4701_8D4A_ACF145F887DE_.wvu.FilterData">'EXEMPLO-FILTROS-CLASSIFICACAO'!$A$1:$G$8</definedName>
  </definedNames>
  <calcPr/>
  <customWorkbookViews>
    <customWorkbookView activeSheetId="0" maximized="1" windowHeight="0" windowWidth="0" guid="{A5B75023-08CD-49E6-9742-4F9062AF60F7}" name="FiltroEXEMPLO"/>
    <customWorkbookView activeSheetId="0" maximized="1" windowHeight="0" windowWidth="0" guid="{54D32C99-442F-4701-8D4A-ACF145F887DE}" name="Filtro 1"/>
  </customWorkbookViews>
</workbook>
</file>

<file path=xl/sharedStrings.xml><?xml version="1.0" encoding="utf-8"?>
<sst xmlns="http://schemas.openxmlformats.org/spreadsheetml/2006/main" count="46" uniqueCount="25">
  <si>
    <t>DESCRIÇÃO DA RECEITA(VALOR A RECEBER)</t>
  </si>
  <si>
    <t>DESCRICAO DA DESPESA(VALOR A PAGAR)</t>
  </si>
  <si>
    <t>AGOSTO/2026</t>
  </si>
  <si>
    <t>SETEMBRO/2026</t>
  </si>
  <si>
    <t>OUTUBRO/2026</t>
  </si>
  <si>
    <t>DESCRICAO</t>
  </si>
  <si>
    <t>NOVEMBRO/2026</t>
  </si>
  <si>
    <t>DEZEMBRO/2026</t>
  </si>
  <si>
    <t>STATUS</t>
  </si>
  <si>
    <t>Aluguel/Moradia</t>
  </si>
  <si>
    <t>Alimentacao</t>
  </si>
  <si>
    <t>CONFERIDO</t>
  </si>
  <si>
    <t>PAGAMENTO</t>
  </si>
  <si>
    <t>RECEITAS</t>
  </si>
  <si>
    <t>Educação</t>
  </si>
  <si>
    <t>CONFERIR</t>
  </si>
  <si>
    <t>Lazer</t>
  </si>
  <si>
    <t>FREELANCER</t>
  </si>
  <si>
    <t>Saúde</t>
  </si>
  <si>
    <t>TOTAL</t>
  </si>
  <si>
    <t>Investimentos</t>
  </si>
  <si>
    <t>SALDO-&gt;SOMA DAS DESDPESAS</t>
  </si>
  <si>
    <t>DESPESAS</t>
  </si>
  <si>
    <t>SALDO MENSAL</t>
  </si>
  <si>
    <t>FORMTACAO CONDICIONAL USANDO "SE"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</si>
</sst>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/yyyy"/>
    <numFmt numFmtId="165" formatCode="[$R$ -416]#,##0.00"/>
  </numFmts>
  <fonts count="5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49" xfId="0" applyAlignment="1" applyFont="1" applyNumberFormat="1">
      <alignment readingOrder="0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165" xfId="0" applyFont="1" applyNumberFormat="1"/>
    <xf borderId="0" fillId="3" fontId="3" numFmtId="0" xfId="0" applyAlignment="1" applyFill="1" applyFont="1">
      <alignment readingOrder="0"/>
    </xf>
    <xf borderId="0" fillId="3" fontId="3" numFmtId="165" xfId="0" applyFont="1" applyNumberFormat="1"/>
    <xf borderId="0" fillId="3" fontId="4" numFmtId="0" xfId="0" applyAlignment="1" applyFont="1">
      <alignment readingOrder="0"/>
    </xf>
    <xf borderId="0" fillId="3" fontId="4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12.25"/>
    <col customWidth="1" min="3" max="3" width="14.5"/>
    <col customWidth="1" min="4" max="4" width="13.5"/>
    <col customWidth="1" min="5" max="5" width="14.88"/>
    <col customWidth="1" min="6" max="6" width="14.63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7"/>
      <c r="H1" s="7"/>
      <c r="I1" s="8"/>
      <c r="J1" s="8"/>
      <c r="K1" s="8"/>
      <c r="L1" s="8"/>
    </row>
    <row r="2">
      <c r="A2" s="5" t="s">
        <v>12</v>
      </c>
      <c r="B2" s="6">
        <v>3500.0</v>
      </c>
      <c r="C2" s="6">
        <v>3500.0</v>
      </c>
      <c r="D2" s="6">
        <v>3500.0</v>
      </c>
      <c r="E2" s="6">
        <v>3500.0</v>
      </c>
      <c r="F2" s="6">
        <v>3500.0</v>
      </c>
      <c r="G2" s="6"/>
    </row>
    <row r="3">
      <c r="A3" s="5" t="s">
        <v>17</v>
      </c>
      <c r="B3" s="6">
        <v>1200.0</v>
      </c>
      <c r="C3" s="6">
        <v>1200.0</v>
      </c>
      <c r="D3" s="6">
        <v>1200.0</v>
      </c>
      <c r="E3" s="6">
        <v>1200.0</v>
      </c>
      <c r="F3" s="6">
        <v>1200.0</v>
      </c>
      <c r="G3" s="6"/>
    </row>
    <row r="4">
      <c r="A4" s="10" t="s">
        <v>19</v>
      </c>
      <c r="B4" s="11">
        <f t="shared" ref="B4:F4" si="1">SUM(B2+B3)</f>
        <v>4700</v>
      </c>
      <c r="C4" s="11">
        <f t="shared" si="1"/>
        <v>4700</v>
      </c>
      <c r="D4" s="11">
        <f t="shared" si="1"/>
        <v>4700</v>
      </c>
      <c r="E4" s="11">
        <f t="shared" si="1"/>
        <v>4700</v>
      </c>
      <c r="F4" s="11">
        <f t="shared" si="1"/>
        <v>4700</v>
      </c>
      <c r="G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0.13"/>
    <col customWidth="1" min="3" max="3" width="14.5"/>
    <col customWidth="1" min="4" max="4" width="13.5"/>
    <col customWidth="1" min="5" max="5" width="14.88"/>
    <col customWidth="1" min="6" max="6" width="14.63"/>
  </cols>
  <sheetData>
    <row r="1">
      <c r="A1" s="1" t="s">
        <v>1</v>
      </c>
      <c r="B1" s="3">
        <v>46235.0</v>
      </c>
      <c r="C1" s="2" t="s">
        <v>3</v>
      </c>
      <c r="D1" s="2" t="s">
        <v>4</v>
      </c>
      <c r="E1" s="2" t="s">
        <v>6</v>
      </c>
      <c r="F1" s="2" t="s">
        <v>7</v>
      </c>
    </row>
    <row r="2">
      <c r="A2" s="5" t="s">
        <v>9</v>
      </c>
      <c r="B2" s="6">
        <v>1800.0</v>
      </c>
      <c r="C2" s="6">
        <v>1800.0</v>
      </c>
      <c r="D2" s="6">
        <v>1800.0</v>
      </c>
      <c r="E2" s="6">
        <v>1800.0</v>
      </c>
      <c r="F2" s="6">
        <v>1800.0</v>
      </c>
    </row>
    <row r="3">
      <c r="A3" s="5" t="s">
        <v>10</v>
      </c>
      <c r="B3" s="6">
        <v>1200.0</v>
      </c>
      <c r="C3" s="6">
        <v>1200.0</v>
      </c>
      <c r="D3" s="6">
        <v>1200.0</v>
      </c>
      <c r="E3" s="6">
        <v>1200.0</v>
      </c>
      <c r="F3" s="6">
        <v>1200.0</v>
      </c>
    </row>
    <row r="4">
      <c r="A4" s="5" t="s">
        <v>14</v>
      </c>
      <c r="B4" s="6">
        <v>300.0</v>
      </c>
      <c r="C4" s="6">
        <v>300.0</v>
      </c>
      <c r="D4" s="6">
        <v>300.0</v>
      </c>
      <c r="E4" s="6">
        <v>300.0</v>
      </c>
      <c r="F4" s="6">
        <v>300.0</v>
      </c>
    </row>
    <row r="5">
      <c r="A5" s="5" t="s">
        <v>16</v>
      </c>
      <c r="B5" s="6">
        <v>300.0</v>
      </c>
      <c r="C5" s="6">
        <v>300.0</v>
      </c>
      <c r="D5" s="6">
        <v>300.0</v>
      </c>
      <c r="E5" s="6">
        <v>1500.0</v>
      </c>
      <c r="F5" s="6">
        <v>300.0</v>
      </c>
    </row>
    <row r="6">
      <c r="A6" s="5" t="s">
        <v>18</v>
      </c>
      <c r="B6" s="6">
        <v>300.0</v>
      </c>
      <c r="C6" s="6">
        <v>300.0</v>
      </c>
      <c r="D6" s="6">
        <v>300.0</v>
      </c>
      <c r="E6" s="6">
        <v>300.0</v>
      </c>
      <c r="F6" s="6">
        <v>300.0</v>
      </c>
    </row>
    <row r="7">
      <c r="A7" s="5" t="s">
        <v>20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</row>
    <row r="8">
      <c r="A8" s="12" t="s">
        <v>21</v>
      </c>
      <c r="B8" s="13">
        <f t="shared" ref="B8:F8" si="1">SUM(B2:B7)</f>
        <v>3900</v>
      </c>
      <c r="C8" s="13">
        <f t="shared" si="1"/>
        <v>3900</v>
      </c>
      <c r="D8" s="13">
        <f t="shared" si="1"/>
        <v>3900</v>
      </c>
      <c r="E8" s="13">
        <f t="shared" si="1"/>
        <v>5100</v>
      </c>
      <c r="F8" s="13">
        <f t="shared" si="1"/>
        <v>3900</v>
      </c>
    </row>
    <row r="10">
      <c r="D10" s="5"/>
    </row>
    <row r="16">
      <c r="E1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13"/>
    <col customWidth="1" min="2" max="2" width="16.63"/>
    <col customWidth="1" min="3" max="3" width="14.5"/>
    <col customWidth="1" min="4" max="4" width="13.5"/>
    <col customWidth="1" min="5" max="5" width="14.88"/>
    <col customWidth="1" min="6" max="6" width="14.63"/>
  </cols>
  <sheetData>
    <row r="1">
      <c r="A1" s="4" t="s">
        <v>5</v>
      </c>
      <c r="B1" s="3">
        <v>46235.0</v>
      </c>
      <c r="C1" s="2" t="s">
        <v>3</v>
      </c>
      <c r="D1" s="2" t="s">
        <v>4</v>
      </c>
      <c r="E1" s="2" t="s">
        <v>6</v>
      </c>
      <c r="F1" s="2" t="s">
        <v>7</v>
      </c>
    </row>
    <row r="2">
      <c r="A2" s="5" t="s">
        <v>13</v>
      </c>
      <c r="B2" s="9">
        <f>RECEITA!B4</f>
        <v>4700</v>
      </c>
      <c r="C2" s="9">
        <f>RECEITA!C4</f>
        <v>4700</v>
      </c>
      <c r="D2" s="9">
        <f>RECEITA!D4</f>
        <v>4700</v>
      </c>
      <c r="E2" s="9">
        <f>RECEITA!E4</f>
        <v>4700</v>
      </c>
      <c r="F2" s="9">
        <f>RECEITA!F4</f>
        <v>4700</v>
      </c>
      <c r="G2" s="9" t="str">
        <f>RECEITA!G4</f>
        <v/>
      </c>
    </row>
    <row r="3">
      <c r="A3" s="5" t="s">
        <v>22</v>
      </c>
      <c r="B3" s="9">
        <f>DESPESA!B8</f>
        <v>3900</v>
      </c>
      <c r="C3" s="9">
        <f>DESPESA!C8</f>
        <v>3900</v>
      </c>
      <c r="D3" s="9">
        <f>DESPESA!D8</f>
        <v>3900</v>
      </c>
      <c r="E3" s="9">
        <f>DESPESA!E8</f>
        <v>5100</v>
      </c>
      <c r="F3" s="9">
        <f>DESPESA!F8</f>
        <v>3900</v>
      </c>
      <c r="G3" s="14" t="str">
        <f>DESPESA!G8</f>
        <v/>
      </c>
    </row>
    <row r="4">
      <c r="A4" s="12" t="s">
        <v>23</v>
      </c>
      <c r="B4" s="13">
        <f t="shared" ref="B4:F4" si="1">B2-B3</f>
        <v>800</v>
      </c>
      <c r="C4" s="13">
        <f t="shared" si="1"/>
        <v>800</v>
      </c>
      <c r="D4" s="13">
        <f t="shared" si="1"/>
        <v>800</v>
      </c>
      <c r="E4" s="13">
        <f t="shared" si="1"/>
        <v>-400</v>
      </c>
      <c r="F4" s="13">
        <f t="shared" si="1"/>
        <v>800</v>
      </c>
    </row>
    <row r="5">
      <c r="A5" s="5" t="s">
        <v>24</v>
      </c>
      <c r="B5" s="14" t="str">
        <f t="shared" ref="B5:F5" si="2">IF(B4 &lt; 0,"ALERTA!!", "TUDO OK")</f>
        <v>TUDO OK</v>
      </c>
      <c r="C5" s="14" t="str">
        <f t="shared" si="2"/>
        <v>TUDO OK</v>
      </c>
      <c r="D5" s="14" t="str">
        <f t="shared" si="2"/>
        <v>TUDO OK</v>
      </c>
      <c r="E5" s="14" t="str">
        <f t="shared" si="2"/>
        <v>ALERTA!!</v>
      </c>
      <c r="F5" s="14" t="str">
        <f t="shared" si="2"/>
        <v>TUDO OK</v>
      </c>
    </row>
    <row r="10">
      <c r="D10" s="5"/>
    </row>
    <row r="16">
      <c r="E1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1.75"/>
    <col customWidth="1" min="3" max="3" width="10.13"/>
    <col customWidth="1" min="4" max="4" width="14.5"/>
    <col customWidth="1" min="5" max="5" width="13.5"/>
    <col customWidth="1" min="6" max="6" width="14.88"/>
    <col customWidth="1" min="7" max="7" width="14.63"/>
  </cols>
  <sheetData>
    <row r="1">
      <c r="A1" s="1" t="s">
        <v>1</v>
      </c>
      <c r="B1" s="4" t="s">
        <v>8</v>
      </c>
      <c r="C1" s="3">
        <v>46235.0</v>
      </c>
      <c r="D1" s="2" t="s">
        <v>3</v>
      </c>
      <c r="E1" s="2" t="s">
        <v>4</v>
      </c>
      <c r="F1" s="2" t="s">
        <v>6</v>
      </c>
      <c r="G1" s="2" t="s">
        <v>7</v>
      </c>
    </row>
    <row r="2">
      <c r="A2" s="5" t="s">
        <v>9</v>
      </c>
      <c r="B2" s="6" t="s">
        <v>11</v>
      </c>
      <c r="C2" s="6">
        <v>1800.0</v>
      </c>
      <c r="D2" s="6">
        <v>1800.0</v>
      </c>
      <c r="E2" s="6">
        <v>1800.0</v>
      </c>
      <c r="F2" s="6">
        <v>1800.0</v>
      </c>
      <c r="G2" s="6">
        <v>1800.0</v>
      </c>
    </row>
    <row r="3">
      <c r="A3" s="5" t="s">
        <v>10</v>
      </c>
      <c r="B3" s="6" t="s">
        <v>15</v>
      </c>
      <c r="C3" s="6">
        <v>1200.0</v>
      </c>
      <c r="D3" s="6">
        <v>1200.0</v>
      </c>
      <c r="E3" s="6">
        <v>1200.0</v>
      </c>
      <c r="F3" s="6">
        <v>1200.0</v>
      </c>
      <c r="G3" s="6">
        <v>1200.0</v>
      </c>
    </row>
    <row r="4">
      <c r="A4" s="5" t="s">
        <v>14</v>
      </c>
      <c r="B4" s="6" t="s">
        <v>15</v>
      </c>
      <c r="C4" s="6">
        <v>300.0</v>
      </c>
      <c r="D4" s="6">
        <v>300.0</v>
      </c>
      <c r="E4" s="6">
        <v>300.0</v>
      </c>
      <c r="F4" s="6">
        <v>300.0</v>
      </c>
      <c r="G4" s="6">
        <v>300.0</v>
      </c>
    </row>
    <row r="5">
      <c r="A5" s="5" t="s">
        <v>16</v>
      </c>
      <c r="B5" s="6"/>
      <c r="C5" s="6">
        <v>300.0</v>
      </c>
      <c r="D5" s="6">
        <v>300.0</v>
      </c>
      <c r="E5" s="6">
        <v>300.0</v>
      </c>
      <c r="F5" s="6">
        <v>300.0</v>
      </c>
      <c r="G5" s="6">
        <v>300.0</v>
      </c>
    </row>
    <row r="6">
      <c r="A6" s="5" t="s">
        <v>18</v>
      </c>
      <c r="B6" s="6"/>
      <c r="C6" s="6">
        <v>300.0</v>
      </c>
      <c r="D6" s="6">
        <v>300.0</v>
      </c>
      <c r="E6" s="6">
        <v>300.0</v>
      </c>
      <c r="F6" s="6">
        <v>300.0</v>
      </c>
      <c r="G6" s="6">
        <v>300.0</v>
      </c>
    </row>
    <row r="7">
      <c r="A7" s="5" t="s">
        <v>20</v>
      </c>
      <c r="B7" s="6"/>
      <c r="C7" s="6">
        <v>0.0</v>
      </c>
      <c r="D7" s="6">
        <v>0.0</v>
      </c>
      <c r="E7" s="6">
        <v>0.0</v>
      </c>
      <c r="F7" s="6">
        <v>0.0</v>
      </c>
      <c r="G7" s="6">
        <v>0.0</v>
      </c>
    </row>
    <row r="8">
      <c r="A8" s="12" t="s">
        <v>21</v>
      </c>
      <c r="B8" s="13"/>
      <c r="C8" s="13">
        <f t="shared" ref="C8:G8" si="1">SUM(C2:C7)</f>
        <v>3900</v>
      </c>
      <c r="D8" s="13">
        <f t="shared" si="1"/>
        <v>3900</v>
      </c>
      <c r="E8" s="13">
        <f t="shared" si="1"/>
        <v>3900</v>
      </c>
      <c r="F8" s="13">
        <f t="shared" si="1"/>
        <v>3900</v>
      </c>
      <c r="G8" s="13">
        <f t="shared" si="1"/>
        <v>3900</v>
      </c>
    </row>
    <row r="10">
      <c r="E10" s="5"/>
    </row>
    <row r="16">
      <c r="F16" s="5"/>
    </row>
  </sheetData>
  <customSheetViews>
    <customSheetView guid="{54D32C99-442F-4701-8D4A-ACF145F887DE}" filter="1" showAutoFilter="1">
      <autoFilter ref="$A$1:$G$8"/>
    </customSheetView>
    <customSheetView guid="{A5B75023-08CD-49E6-9742-4F9062AF60F7}" filter="1" showAutoFilter="1">
      <autoFilter ref="$A$1:$G$8">
        <filterColumn colId="0">
          <filters>
            <filter val="Educação"/>
            <filter val="Investimentos"/>
            <filter val="Saúde"/>
            <filter val="Aluguel/Moradia"/>
            <filter val="Lazer"/>
            <filter val="SALDO-&gt;SOMA DAS DESDPESAS"/>
          </filters>
        </filterColumn>
      </autoFilter>
    </customSheetView>
  </customSheetViews>
  <drawing r:id="rId1"/>
</worksheet>
</file>