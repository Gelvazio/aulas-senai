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mas" sheetId="1" r:id="rId4"/>
    <sheet state="visible" name="Página1" sheetId="2" r:id="rId5"/>
  </sheets>
  <definedNames/>
  <calcPr/>
  <extLst>
    <ext uri="GoogleSheetsCustomDataVersion2">
      <go:sheetsCustomData xmlns:go="http://customooxmlschemas.google.com/" r:id="rId6" roundtripDataChecksum="8fUWNTpfB6/wrcH0QhRchJrbD3FL4AXyyvZVSgdwWS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8">
      <text>
        <t xml:space="preserve">======
ID#AAABgwOwFLs
    (2025-03-24 12:59:23)
31/01 cabeça baixa durante explicação (posição de soneca)</t>
      </text>
    </comment>
    <comment authorId="0" ref="C58">
      <text>
        <t xml:space="preserve">======
ID#AAABgwOwFLo
    (2025-03-24 12:59:23)
31/01 no celular durante correção de atividade</t>
      </text>
    </comment>
    <comment authorId="0" ref="B58">
      <text>
        <t xml:space="preserve">======
ID#AAABgwOwFLk
    (2025-03-24 12:59:23)
31/01 no celular durante correção de atividades</t>
      </text>
    </comment>
  </commentList>
  <extLst>
    <ext uri="GoogleSheetsCustomDataVersion2">
      <go:sheetsCustomData xmlns:go="http://customooxmlschemas.google.com/" r:id="rId1" roundtripDataSignature="AMtx7mjdQDQJcVWWLDBkUkZCV4pwUf8s6Q=="/>
    </ext>
  </extLst>
</comments>
</file>

<file path=xl/sharedStrings.xml><?xml version="1.0" encoding="utf-8"?>
<sst xmlns="http://schemas.openxmlformats.org/spreadsheetml/2006/main" count="132" uniqueCount="93">
  <si>
    <t>CRITÉRIOS</t>
  </si>
  <si>
    <t>O aluno utiliza o celular ou outros dispositivos (ex.: fones de ouvido) apenas em momentos autorizados e para fins educacionais?</t>
  </si>
  <si>
    <t>Demonstra respeito ao docente, demais colaboradores da instituição e colegas em suas atitudes e falas?</t>
  </si>
  <si>
    <t>Chega pontualmente às aulas e retorna no horário combinado após intervalos?</t>
  </si>
  <si>
    <t>Demonstra interesse e participa ativamente das discussões, trabalhos e atividades propostas?
Contribui de maneira colaborativa em dinâmicas em grupo?</t>
  </si>
  <si>
    <t>Apresenta-se com comportamento compatível com o ambiente profissional, como respeito às normas de convivência e vestimenta adequada (ex.: proibido uso de boné)?</t>
  </si>
  <si>
    <t>Colabora com o grupo, promovendo um ambiente positivo e produtivo? Mostra empatia ao lidar com diferentes perspectivas e resolve conflitos de forma construtiva?</t>
  </si>
  <si>
    <t>Mantém a calma e o controle emocional, especialmente em situações de pressão ou conflito? Evita atitudes agressivas ou desmotivadoras para o grupo?</t>
  </si>
  <si>
    <t>Respeita as regras de conduta e evita práticas inadequadas, como colar em avaliações ou não cumprir suas responsabilidades em trabalhos em grupo?</t>
  </si>
  <si>
    <t>Utiliza linguagem adequada ao ambiente educacional, evitando gírias/palavrões ou termos desrespeitosos?</t>
  </si>
  <si>
    <t>Participa de forma clara e objetiva durante apresentações, discussões e feedbacks?</t>
  </si>
  <si>
    <t>Nota Final</t>
  </si>
  <si>
    <t>Comentários</t>
  </si>
  <si>
    <t>Peso das Notas ---&gt;&gt;&gt;</t>
  </si>
  <si>
    <t>Amanda</t>
  </si>
  <si>
    <t>Excesso de uso do celular e muitas abaixa a cabeça na mesa dando a entender que está dormindo ou não se importanto com o contéudo a ser apresentado.</t>
  </si>
  <si>
    <t xml:space="preserve">Artur Kemper Detzel </t>
  </si>
  <si>
    <t>Excesso de brincadeiras e risadas durante apresentação do contéudo e execução das atividades. Postura não adequada ao sentar na cadeira e muitas vezes parece não se importar com o contéudo</t>
  </si>
  <si>
    <t xml:space="preserve">Beatriz Caroline Defrein Kammers </t>
  </si>
  <si>
    <t xml:space="preserve">Bernardo Gabriel Cunha Domingos </t>
  </si>
  <si>
    <t xml:space="preserve">Bruno Romagnani Leopoldo </t>
  </si>
  <si>
    <t xml:space="preserve">Cesar Cauan Hass </t>
  </si>
  <si>
    <t xml:space="preserve">Dandarah do Nascimento Pureza </t>
  </si>
  <si>
    <t>Excesso de uso do celular e acesso a sites durante apresentação do contéudo e execução das atividades. Postura não adequada ao sentar na cadeira e muitas vezes parece não se importar com o contéudo</t>
  </si>
  <si>
    <t xml:space="preserve">Débora Back </t>
  </si>
  <si>
    <t xml:space="preserve">Emily de Andrade </t>
  </si>
  <si>
    <t>Excesso de faltas na UC.</t>
  </si>
  <si>
    <t xml:space="preserve">Eric Gabriel Magnani Masson </t>
  </si>
  <si>
    <t xml:space="preserve">Fábio Alves de Campos Júnior </t>
  </si>
  <si>
    <t xml:space="preserve">Felipe Caue Hoffmann </t>
  </si>
  <si>
    <t xml:space="preserve">Felipe Cipriani </t>
  </si>
  <si>
    <t xml:space="preserve">Gabriel Yago dos Santos </t>
  </si>
  <si>
    <t xml:space="preserve">Gustavo Francisco dos Santos </t>
  </si>
  <si>
    <t>As segundas sempre chega na metade da aula</t>
  </si>
  <si>
    <t xml:space="preserve">Gustavo Pasquali </t>
  </si>
  <si>
    <t xml:space="preserve">Henrique Gabriel de Macedo </t>
  </si>
  <si>
    <t xml:space="preserve">Henrique Krieser Schlemper </t>
  </si>
  <si>
    <t xml:space="preserve">Hévanni Luiza Nandi Cunha </t>
  </si>
  <si>
    <t xml:space="preserve">Igor Schwambach </t>
  </si>
  <si>
    <t xml:space="preserve">Isaque Inácio da Silva </t>
  </si>
  <si>
    <t xml:space="preserve">João Miguel da Silva </t>
  </si>
  <si>
    <t>Excesso de brincadeiras e risadas durante apresentação do contéudo e execução das atividades.</t>
  </si>
  <si>
    <t xml:space="preserve">João Paulo Passig </t>
  </si>
  <si>
    <t xml:space="preserve">Julia Gutjahr </t>
  </si>
  <si>
    <t xml:space="preserve">Julia Schmoegel </t>
  </si>
  <si>
    <t xml:space="preserve">Ketlyn Doerner de Oliveira </t>
  </si>
  <si>
    <t xml:space="preserve">Leonardo Figueiredo da Silva Carvalho </t>
  </si>
  <si>
    <t xml:space="preserve">Luana Cristine Alves dos Santos </t>
  </si>
  <si>
    <t xml:space="preserve">Luís Gustavo Expedito Leite </t>
  </si>
  <si>
    <t xml:space="preserve">Maria Gabriela Calisario Metzger </t>
  </si>
  <si>
    <t>Matheus Henrique Theodorico Gomes</t>
  </si>
  <si>
    <t xml:space="preserve">Mikaela Wanessa Hass </t>
  </si>
  <si>
    <t xml:space="preserve">Mikael Cristian de Oliveira </t>
  </si>
  <si>
    <t xml:space="preserve">Mylena Emanuelle Machado </t>
  </si>
  <si>
    <t xml:space="preserve">Stefany Gutz </t>
  </si>
  <si>
    <t xml:space="preserve">Victor Hugo Jensen Westphal Demarch </t>
  </si>
  <si>
    <r>
      <rPr>
        <rFont val="&quot;Open Sans&quot;"/>
        <color rgb="FF1155CC"/>
        <u/>
      </rPr>
      <t xml:space="preserve">Amanda de Liz Souza </t>
    </r>
  </si>
  <si>
    <t>MR</t>
  </si>
  <si>
    <r>
      <rPr>
        <rFont val="&quot;Open Sans&quot;"/>
        <color rgb="FF1155CC"/>
        <u/>
      </rPr>
      <t xml:space="preserve">Artur Kemper Detzel </t>
    </r>
  </si>
  <si>
    <r>
      <rPr>
        <rFont val="&quot;Open Sans&quot;"/>
        <color rgb="FF1155CC"/>
        <u/>
      </rPr>
      <t xml:space="preserve">Beatriz Caroline Defrein Kammers </t>
    </r>
  </si>
  <si>
    <r>
      <rPr>
        <rFont val="&quot;Open Sans&quot;"/>
        <color rgb="FF1155CC"/>
        <u/>
      </rPr>
      <t xml:space="preserve">Bernardo Gabriel Cunha Domingos </t>
    </r>
  </si>
  <si>
    <r>
      <rPr>
        <rFont val="&quot;Open Sans&quot;"/>
        <color rgb="FF1155CC"/>
        <u/>
      </rPr>
      <t xml:space="preserve">Bruno Romagnani Leopoldo </t>
    </r>
  </si>
  <si>
    <r>
      <rPr>
        <rFont val="&quot;Open Sans&quot;"/>
        <color rgb="FF1155CC"/>
        <u/>
      </rPr>
      <t xml:space="preserve">Cesar Cauan Hass </t>
    </r>
  </si>
  <si>
    <r>
      <rPr>
        <rFont val="&quot;Open Sans&quot;"/>
        <color rgb="FF1155CC"/>
        <u/>
      </rPr>
      <t xml:space="preserve">Dandarah do Nascimento Pureza </t>
    </r>
  </si>
  <si>
    <r>
      <rPr>
        <rFont val="&quot;Open Sans&quot;"/>
        <color rgb="FF1155CC"/>
        <u/>
      </rPr>
      <t xml:space="preserve">Débora Back </t>
    </r>
  </si>
  <si>
    <r>
      <rPr>
        <rFont val="&quot;Open Sans&quot;"/>
        <color rgb="FF1155CC"/>
        <u/>
      </rPr>
      <t xml:space="preserve">Emily de Andrade </t>
    </r>
  </si>
  <si>
    <r>
      <rPr>
        <rFont val="&quot;Open Sans&quot;"/>
        <color rgb="FF1155CC"/>
        <u/>
      </rPr>
      <t xml:space="preserve">Eric Gabriel Magnani Masson </t>
    </r>
  </si>
  <si>
    <r>
      <rPr>
        <rFont val="&quot;Open Sans&quot;"/>
        <color rgb="FF1155CC"/>
        <u/>
      </rPr>
      <t xml:space="preserve">Fábio Alves de Campos Júnior </t>
    </r>
  </si>
  <si>
    <r>
      <rPr>
        <rFont val="&quot;Open Sans&quot;"/>
        <color rgb="FF1155CC"/>
        <u/>
      </rPr>
      <t xml:space="preserve">Felipe Caue Hoffmann </t>
    </r>
  </si>
  <si>
    <r>
      <rPr>
        <rFont val="&quot;Open Sans&quot;"/>
        <color rgb="FF1155CC"/>
        <u/>
      </rPr>
      <t xml:space="preserve">Felipe Cipriani </t>
    </r>
  </si>
  <si>
    <r>
      <rPr>
        <rFont val="&quot;Open Sans&quot;"/>
        <color rgb="FF1155CC"/>
        <u/>
      </rPr>
      <t xml:space="preserve">Gabriel Yago dos Santos </t>
    </r>
  </si>
  <si>
    <r>
      <rPr>
        <rFont val="&quot;Open Sans&quot;"/>
        <color rgb="FF1155CC"/>
        <u/>
      </rPr>
      <t xml:space="preserve">Gustavo Francisco dos Santos </t>
    </r>
  </si>
  <si>
    <r>
      <rPr>
        <rFont val="&quot;Open Sans&quot;"/>
        <color rgb="FF1155CC"/>
        <u/>
      </rPr>
      <t xml:space="preserve">Gustavo Pasquali </t>
    </r>
  </si>
  <si>
    <r>
      <rPr>
        <rFont val="&quot;Open Sans&quot;"/>
        <color rgb="FF1155CC"/>
        <u/>
      </rPr>
      <t xml:space="preserve">Henrique Gabriel de Macedo </t>
    </r>
  </si>
  <si>
    <r>
      <rPr>
        <rFont val="&quot;Open Sans&quot;"/>
        <color rgb="FF1155CC"/>
        <u/>
      </rPr>
      <t xml:space="preserve">Henrique Krieser Schlemper </t>
    </r>
  </si>
  <si>
    <r>
      <rPr>
        <rFont val="&quot;Open Sans&quot;"/>
        <color rgb="FF1155CC"/>
        <u/>
      </rPr>
      <t xml:space="preserve">Hévanni Luiza Nandi Cunha </t>
    </r>
  </si>
  <si>
    <r>
      <rPr>
        <rFont val="&quot;Open Sans&quot;"/>
        <color rgb="FF1155CC"/>
        <u/>
      </rPr>
      <t xml:space="preserve">Igor Schwambach </t>
    </r>
  </si>
  <si>
    <r>
      <rPr>
        <rFont val="&quot;Open Sans&quot;"/>
        <color rgb="FF1155CC"/>
        <u/>
      </rPr>
      <t xml:space="preserve">Isaque Inácio da Silva </t>
    </r>
  </si>
  <si>
    <r>
      <rPr>
        <rFont val="&quot;Open Sans&quot;"/>
        <color rgb="FF1155CC"/>
        <u/>
      </rPr>
      <t xml:space="preserve">João Miguel da Silva </t>
    </r>
  </si>
  <si>
    <r>
      <rPr>
        <rFont val="&quot;Open Sans&quot;"/>
        <color rgb="FF1155CC"/>
        <u/>
      </rPr>
      <t xml:space="preserve">João Paulo Passig </t>
    </r>
  </si>
  <si>
    <r>
      <rPr>
        <rFont val="&quot;Open Sans&quot;"/>
        <color rgb="FF1155CC"/>
        <u/>
      </rPr>
      <t xml:space="preserve">Julia Gutjahr </t>
    </r>
  </si>
  <si>
    <r>
      <rPr>
        <rFont val="&quot;Open Sans&quot;"/>
        <color rgb="FF1155CC"/>
        <u/>
      </rPr>
      <t xml:space="preserve">Julia Schmoegel </t>
    </r>
  </si>
  <si>
    <r>
      <rPr>
        <rFont val="&quot;Open Sans&quot;"/>
        <color rgb="FF1155CC"/>
        <u/>
      </rPr>
      <t xml:space="preserve">Ketlyn Doerner de Oliveira </t>
    </r>
  </si>
  <si>
    <r>
      <rPr>
        <rFont val="&quot;Open Sans&quot;"/>
        <color rgb="FF1155CC"/>
        <u/>
      </rPr>
      <t xml:space="preserve">Leonardo Figueiredo da Silva Carvalho </t>
    </r>
  </si>
  <si>
    <r>
      <rPr>
        <rFont val="&quot;Open Sans&quot;"/>
        <color rgb="FF1155CC"/>
        <u/>
      </rPr>
      <t xml:space="preserve">Luana Cristine Alves dos Santos </t>
    </r>
  </si>
  <si>
    <r>
      <rPr>
        <rFont val="&quot;Open Sans&quot;"/>
        <color rgb="FF1155CC"/>
        <u/>
      </rPr>
      <t xml:space="preserve">Luís Gustavo Expedito Leite </t>
    </r>
  </si>
  <si>
    <r>
      <rPr>
        <rFont val="&quot;Open Sans&quot;"/>
        <color rgb="FF1155CC"/>
        <u/>
      </rPr>
      <t xml:space="preserve">Maria Gabriela Calisario Metzger </t>
    </r>
  </si>
  <si>
    <r>
      <rPr>
        <rFont val="&quot;Open Sans&quot;"/>
        <color rgb="FF1155CC"/>
        <u/>
      </rPr>
      <t>Matheus Henrique Theodorico Gomes</t>
    </r>
  </si>
  <si>
    <r>
      <rPr>
        <rFont val="&quot;Open Sans&quot;"/>
        <color rgb="FF1155CC"/>
        <u/>
      </rPr>
      <t xml:space="preserve">Mikaela Wanessa Hass </t>
    </r>
  </si>
  <si>
    <r>
      <rPr>
        <rFont val="&quot;Open Sans&quot;"/>
        <color rgb="FF1155CC"/>
        <u/>
      </rPr>
      <t xml:space="preserve">Mikael Cristian de Oliveira </t>
    </r>
  </si>
  <si>
    <r>
      <rPr>
        <rFont val="&quot;Open Sans&quot;"/>
        <color rgb="FF1155CC"/>
        <u/>
      </rPr>
      <t xml:space="preserve">Mylena Emanuelle Machado </t>
    </r>
  </si>
  <si>
    <r>
      <rPr>
        <rFont val="&quot;Open Sans&quot;"/>
        <color rgb="FF1155CC"/>
        <u/>
      </rPr>
      <t xml:space="preserve">Stefany Gutz </t>
    </r>
  </si>
  <si>
    <r>
      <rPr>
        <rFont val="&quot;Open Sans&quot;"/>
        <color rgb="FF1155CC"/>
        <u/>
      </rPr>
      <t xml:space="preserve">Victor Hugo Jensen Westphal Demarch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</si>
</sst>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Arial"/>
      <scheme val="minor"/>
    </font>
    <font>
      <b/>
      <sz val="9.0"/>
      <color theme="1"/>
      <name val="Arial"/>
    </font>
    <font>
      <b/>
      <sz val="10.0"/>
      <color theme="1"/>
      <name val="Arial"/>
    </font>
    <font/>
    <font>
      <b/>
      <sz val="12.0"/>
      <color theme="1"/>
      <name val="Arial"/>
    </font>
    <font>
      <sz val="9.0"/>
      <color rgb="FF000000"/>
      <name val="Arial"/>
    </font>
    <font>
      <sz val="9.0"/>
      <color theme="1"/>
      <name val="Arial"/>
    </font>
    <font>
      <b/>
      <sz val="11.0"/>
      <color theme="1"/>
      <name val="Arial"/>
    </font>
    <font>
      <color theme="1"/>
      <name val="&quot;Open Sans&quot;"/>
    </font>
    <font>
      <sz val="11.0"/>
      <color theme="1"/>
      <name val="Arial"/>
    </font>
    <font>
      <color theme="1"/>
      <name val="Arial"/>
    </font>
    <font>
      <sz val="10.0"/>
      <color theme="1"/>
      <name val="Arial"/>
    </font>
    <font>
      <u/>
      <color rgb="FF0000FF"/>
      <name val="&quot;Open Sans&quot;"/>
    </font>
    <font>
      <color rgb="FFE6E8EB"/>
      <name val="&quot;Open Sans&quot;"/>
    </font>
    <font>
      <u/>
      <color rgb="FF0000FF"/>
      <name val="&quot;Open Sans&quot;"/>
    </font>
    <font>
      <u/>
      <color rgb="FF0000FF"/>
      <name val="&quot;Open Sans&quot;"/>
    </font>
  </fonts>
  <fills count="7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DFEFF"/>
        <bgColor rgb="FFFDFEFF"/>
      </patternFill>
    </fill>
    <fill>
      <patternFill patternType="solid">
        <fgColor rgb="FFFFFFFF"/>
        <bgColor rgb="FFFFFFFF"/>
      </patternFill>
    </fill>
    <fill>
      <patternFill patternType="solid">
        <fgColor rgb="FF434B54"/>
        <bgColor rgb="FF434B54"/>
      </patternFill>
    </fill>
    <fill>
      <patternFill patternType="solid">
        <fgColor rgb="FF394149"/>
        <bgColor rgb="FF39414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5B646D"/>
      </left>
      <right style="thin">
        <color rgb="FF5B646D"/>
      </right>
      <top style="thin">
        <color rgb="FF5B646D"/>
      </top>
      <bottom style="thin">
        <color rgb="FF5B646D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center" vertical="center"/>
    </xf>
    <xf borderId="1" fillId="2" fontId="7" numFmtId="0" xfId="0" applyAlignment="1" applyBorder="1" applyFont="1">
      <alignment horizontal="center" shrinkToFit="0" vertical="center" wrapText="1"/>
    </xf>
    <xf borderId="1" fillId="2" fontId="2" numFmtId="4" xfId="0" applyAlignment="1" applyBorder="1" applyFont="1" applyNumberFormat="1">
      <alignment horizontal="center" shrinkToFit="0" vertical="center" wrapText="1"/>
    </xf>
    <xf borderId="6" fillId="0" fontId="3" numFmtId="0" xfId="0" applyBorder="1" applyFont="1"/>
    <xf borderId="7" fillId="0" fontId="8" numFmtId="0" xfId="0" applyAlignment="1" applyBorder="1" applyFont="1">
      <alignment readingOrder="0"/>
    </xf>
    <xf borderId="1" fillId="4" fontId="9" numFmtId="164" xfId="0" applyAlignment="1" applyBorder="1" applyFill="1" applyFont="1" applyNumberFormat="1">
      <alignment horizontal="center" readingOrder="0"/>
    </xf>
    <xf borderId="1" fillId="4" fontId="2" numFmtId="164" xfId="0" applyAlignment="1" applyBorder="1" applyFont="1" applyNumberFormat="1">
      <alignment horizontal="center"/>
    </xf>
    <xf borderId="1" fillId="0" fontId="10" numFmtId="0" xfId="0" applyAlignment="1" applyBorder="1" applyFont="1">
      <alignment readingOrder="0"/>
    </xf>
    <xf borderId="1" fillId="0" fontId="10" numFmtId="0" xfId="0" applyBorder="1" applyFont="1"/>
    <xf borderId="1" fillId="4" fontId="2" numFmtId="164" xfId="0" applyAlignment="1" applyBorder="1" applyFont="1" applyNumberFormat="1">
      <alignment horizontal="center" readingOrder="0"/>
    </xf>
    <xf borderId="0" fillId="0" fontId="10" numFmtId="0" xfId="0" applyAlignment="1" applyFont="1">
      <alignment horizontal="center"/>
    </xf>
    <xf borderId="1" fillId="4" fontId="9" numFmtId="164" xfId="0" applyAlignment="1" applyBorder="1" applyFont="1" applyNumberFormat="1">
      <alignment horizontal="center"/>
    </xf>
    <xf borderId="1" fillId="4" fontId="11" numFmtId="164" xfId="0" applyAlignment="1" applyBorder="1" applyFont="1" applyNumberFormat="1">
      <alignment horizontal="center"/>
    </xf>
    <xf borderId="7" fillId="0" fontId="12" numFmtId="0" xfId="0" applyAlignment="1" applyBorder="1" applyFont="1">
      <alignment readingOrder="0"/>
    </xf>
    <xf borderId="7" fillId="5" fontId="13" numFmtId="0" xfId="0" applyAlignment="1" applyBorder="1" applyFill="1" applyFont="1">
      <alignment horizontal="center"/>
    </xf>
    <xf borderId="7" fillId="5" fontId="13" numFmtId="0" xfId="0" applyAlignment="1" applyBorder="1" applyFont="1">
      <alignment horizontal="center" readingOrder="0"/>
    </xf>
    <xf borderId="7" fillId="6" fontId="13" numFmtId="0" xfId="0" applyAlignment="1" applyBorder="1" applyFill="1" applyFont="1">
      <alignment horizontal="center" readingOrder="0"/>
    </xf>
    <xf borderId="7" fillId="0" fontId="14" numFmtId="0" xfId="0" applyAlignment="1" applyBorder="1" applyFont="1">
      <alignment horizontal="center"/>
    </xf>
    <xf borderId="7" fillId="6" fontId="13" numFmtId="0" xfId="0" applyAlignment="1" applyBorder="1" applyFont="1">
      <alignment horizontal="center"/>
    </xf>
    <xf borderId="7" fillId="0" fontId="1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gn.sesisenai.org.br/pages/diarioClasse/diario-classe.html?idDiario=452618" TargetMode="External"/><Relationship Id="rId42" Type="http://schemas.openxmlformats.org/officeDocument/2006/relationships/hyperlink" Target="https://sgn.sesisenai.org.br/pages/diarioClasse/diario-classe.html?idDiario=452618" TargetMode="External"/><Relationship Id="rId41" Type="http://schemas.openxmlformats.org/officeDocument/2006/relationships/hyperlink" Target="https://sgn.sesisenai.org.br/pages/matricula/movimentoEstudante/movimento-estudante-cadastro.html?idMatricula=2182528" TargetMode="External"/><Relationship Id="rId44" Type="http://schemas.openxmlformats.org/officeDocument/2006/relationships/hyperlink" Target="https://sgn.sesisenai.org.br/pages/diarioClasse/diario-classe.html?idDiario=452618" TargetMode="External"/><Relationship Id="rId43" Type="http://schemas.openxmlformats.org/officeDocument/2006/relationships/hyperlink" Target="https://sgn.sesisenai.org.br/pages/matricula/movimentoEstudante/movimento-estudante-cadastro.html?idMatricula=2182529" TargetMode="External"/><Relationship Id="rId46" Type="http://schemas.openxmlformats.org/officeDocument/2006/relationships/hyperlink" Target="https://sgn.sesisenai.org.br/pages/diarioClasse/diario-classe.html?idDiario=452618" TargetMode="External"/><Relationship Id="rId45" Type="http://schemas.openxmlformats.org/officeDocument/2006/relationships/hyperlink" Target="https://sgn.sesisenai.org.br/pages/matricula/movimentoEstudante/movimento-estudante-cadastro.html?idMatricula=2182530" TargetMode="External"/><Relationship Id="rId1" Type="http://schemas.openxmlformats.org/officeDocument/2006/relationships/hyperlink" Target="https://sgn.sesisenai.org.br/pages/matricula/movimentoEstudante/movimento-estudante-cadastro.html?idMatricula=2184146" TargetMode="External"/><Relationship Id="rId2" Type="http://schemas.openxmlformats.org/officeDocument/2006/relationships/hyperlink" Target="https://sgn.sesisenai.org.br/pages/diarioClasse/diario-classe.html?idDiario=452618" TargetMode="External"/><Relationship Id="rId3" Type="http://schemas.openxmlformats.org/officeDocument/2006/relationships/hyperlink" Target="https://sgn.sesisenai.org.br/pages/matricula/movimentoEstudante/movimento-estudante-cadastro.html?idMatricula=2184061" TargetMode="External"/><Relationship Id="rId4" Type="http://schemas.openxmlformats.org/officeDocument/2006/relationships/hyperlink" Target="https://sgn.sesisenai.org.br/pages/diarioClasse/diario-classe.html?idDiario=452618" TargetMode="External"/><Relationship Id="rId9" Type="http://schemas.openxmlformats.org/officeDocument/2006/relationships/hyperlink" Target="https://sgn.sesisenai.org.br/pages/matricula/movimentoEstudante/movimento-estudante-cadastro.html?idMatricula=2182514" TargetMode="External"/><Relationship Id="rId48" Type="http://schemas.openxmlformats.org/officeDocument/2006/relationships/hyperlink" Target="https://sgn.sesisenai.org.br/pages/diarioClasse/diario-classe.html?idDiario=452618" TargetMode="External"/><Relationship Id="rId47" Type="http://schemas.openxmlformats.org/officeDocument/2006/relationships/hyperlink" Target="https://sgn.sesisenai.org.br/pages/matricula/movimentoEstudante/movimento-estudante-cadastro.html?idMatricula=2191488" TargetMode="External"/><Relationship Id="rId49" Type="http://schemas.openxmlformats.org/officeDocument/2006/relationships/hyperlink" Target="https://sgn.sesisenai.org.br/pages/matricula/movimentoEstudante/movimento-estudante-cadastro.html?idMatricula=2182531" TargetMode="External"/><Relationship Id="rId5" Type="http://schemas.openxmlformats.org/officeDocument/2006/relationships/hyperlink" Target="https://sgn.sesisenai.org.br/pages/matricula/movimentoEstudante/movimento-estudante-cadastro.html?idMatricula=2182512" TargetMode="External"/><Relationship Id="rId6" Type="http://schemas.openxmlformats.org/officeDocument/2006/relationships/hyperlink" Target="https://sgn.sesisenai.org.br/pages/diarioClasse/diario-classe.html?idDiario=452618" TargetMode="External"/><Relationship Id="rId7" Type="http://schemas.openxmlformats.org/officeDocument/2006/relationships/hyperlink" Target="https://sgn.sesisenai.org.br/pages/matricula/movimentoEstudante/movimento-estudante-cadastro.html?idMatricula=2182513" TargetMode="External"/><Relationship Id="rId8" Type="http://schemas.openxmlformats.org/officeDocument/2006/relationships/hyperlink" Target="https://sgn.sesisenai.org.br/pages/diarioClasse/diario-classe.html?idDiario=452618" TargetMode="External"/><Relationship Id="rId72" Type="http://schemas.openxmlformats.org/officeDocument/2006/relationships/drawing" Target="../drawings/drawing2.xml"/><Relationship Id="rId31" Type="http://schemas.openxmlformats.org/officeDocument/2006/relationships/hyperlink" Target="https://sgn.sesisenai.org.br/pages/matricula/movimentoEstudante/movimento-estudante-cadastro.html?idMatricula=2182525" TargetMode="External"/><Relationship Id="rId30" Type="http://schemas.openxmlformats.org/officeDocument/2006/relationships/hyperlink" Target="https://sgn.sesisenai.org.br/pages/diarioClasse/diario-classe.html?idDiario=452618" TargetMode="External"/><Relationship Id="rId33" Type="http://schemas.openxmlformats.org/officeDocument/2006/relationships/hyperlink" Target="https://sgn.sesisenai.org.br/pages/matricula/movimentoEstudante/movimento-estudante-cadastro.html?idMatricula=2189957" TargetMode="External"/><Relationship Id="rId32" Type="http://schemas.openxmlformats.org/officeDocument/2006/relationships/hyperlink" Target="https://sgn.sesisenai.org.br/pages/diarioClasse/diario-classe.html?idDiario=452618" TargetMode="External"/><Relationship Id="rId35" Type="http://schemas.openxmlformats.org/officeDocument/2006/relationships/hyperlink" Target="https://sgn.sesisenai.org.br/pages/matricula/movimentoEstudante/movimento-estudante-cadastro.html?idMatricula=2184188" TargetMode="External"/><Relationship Id="rId34" Type="http://schemas.openxmlformats.org/officeDocument/2006/relationships/hyperlink" Target="https://sgn.sesisenai.org.br/pages/diarioClasse/diario-classe.html?idDiario=452618" TargetMode="External"/><Relationship Id="rId71" Type="http://schemas.openxmlformats.org/officeDocument/2006/relationships/hyperlink" Target="https://sgn.sesisenai.org.br/pages/matricula/movimentoEstudante/movimento-estudante-cadastro.html?idMatricula=2182537" TargetMode="External"/><Relationship Id="rId70" Type="http://schemas.openxmlformats.org/officeDocument/2006/relationships/hyperlink" Target="https://sgn.sesisenai.org.br/pages/diarioClasse/diario-classe.html?idDiario=452618" TargetMode="External"/><Relationship Id="rId37" Type="http://schemas.openxmlformats.org/officeDocument/2006/relationships/hyperlink" Target="https://sgn.sesisenai.org.br/pages/matricula/movimentoEstudante/movimento-estudante-cadastro.html?idMatricula=2182526" TargetMode="External"/><Relationship Id="rId36" Type="http://schemas.openxmlformats.org/officeDocument/2006/relationships/hyperlink" Target="https://sgn.sesisenai.org.br/pages/diarioClasse/diario-classe.html?idDiario=452618" TargetMode="External"/><Relationship Id="rId39" Type="http://schemas.openxmlformats.org/officeDocument/2006/relationships/hyperlink" Target="https://sgn.sesisenai.org.br/pages/matricula/movimentoEstudante/movimento-estudante-cadastro.html?idMatricula=2182527" TargetMode="External"/><Relationship Id="rId38" Type="http://schemas.openxmlformats.org/officeDocument/2006/relationships/hyperlink" Target="https://sgn.sesisenai.org.br/pages/diarioClasse/diario-classe.html?idDiario=452618" TargetMode="External"/><Relationship Id="rId62" Type="http://schemas.openxmlformats.org/officeDocument/2006/relationships/hyperlink" Target="https://sgn.sesisenai.org.br/pages/diarioClasse/diario-classe.html?idDiario=452618" TargetMode="External"/><Relationship Id="rId61" Type="http://schemas.openxmlformats.org/officeDocument/2006/relationships/hyperlink" Target="https://sgn.sesisenai.org.br/pages/matricula/movimentoEstudante/movimento-estudante-cadastro.html?idMatricula=2182532" TargetMode="External"/><Relationship Id="rId20" Type="http://schemas.openxmlformats.org/officeDocument/2006/relationships/hyperlink" Target="https://sgn.sesisenai.org.br/pages/diarioClasse/diario-classe.html?idDiario=452618" TargetMode="External"/><Relationship Id="rId64" Type="http://schemas.openxmlformats.org/officeDocument/2006/relationships/hyperlink" Target="https://sgn.sesisenai.org.br/pages/diarioClasse/diario-classe.html?idDiario=452618" TargetMode="External"/><Relationship Id="rId63" Type="http://schemas.openxmlformats.org/officeDocument/2006/relationships/hyperlink" Target="https://sgn.sesisenai.org.br/pages/matricula/movimentoEstudante/movimento-estudante-cadastro.html?idMatricula=2182533" TargetMode="External"/><Relationship Id="rId22" Type="http://schemas.openxmlformats.org/officeDocument/2006/relationships/hyperlink" Target="https://sgn.sesisenai.org.br/pages/diarioClasse/diario-classe.html?idDiario=452618" TargetMode="External"/><Relationship Id="rId66" Type="http://schemas.openxmlformats.org/officeDocument/2006/relationships/hyperlink" Target="https://sgn.sesisenai.org.br/pages/diarioClasse/diario-classe.html?idDiario=452618" TargetMode="External"/><Relationship Id="rId21" Type="http://schemas.openxmlformats.org/officeDocument/2006/relationships/hyperlink" Target="https://sgn.sesisenai.org.br/pages/matricula/movimentoEstudante/movimento-estudante-cadastro.html?idMatricula=2182517" TargetMode="External"/><Relationship Id="rId65" Type="http://schemas.openxmlformats.org/officeDocument/2006/relationships/hyperlink" Target="https://sgn.sesisenai.org.br/pages/matricula/movimentoEstudante/movimento-estudante-cadastro.html?idMatricula=2184156" TargetMode="External"/><Relationship Id="rId24" Type="http://schemas.openxmlformats.org/officeDocument/2006/relationships/hyperlink" Target="https://sgn.sesisenai.org.br/pages/diarioClasse/diario-classe.html?idDiario=452618" TargetMode="External"/><Relationship Id="rId68" Type="http://schemas.openxmlformats.org/officeDocument/2006/relationships/hyperlink" Target="https://sgn.sesisenai.org.br/pages/diarioClasse/diario-classe.html?idDiario=452618" TargetMode="External"/><Relationship Id="rId23" Type="http://schemas.openxmlformats.org/officeDocument/2006/relationships/hyperlink" Target="https://sgn.sesisenai.org.br/pages/matricula/movimentoEstudante/movimento-estudante-cadastro.html?idMatricula=2182518" TargetMode="External"/><Relationship Id="rId67" Type="http://schemas.openxmlformats.org/officeDocument/2006/relationships/hyperlink" Target="https://sgn.sesisenai.org.br/pages/matricula/movimentoEstudante/movimento-estudante-cadastro.html?idMatricula=2182535" TargetMode="External"/><Relationship Id="rId60" Type="http://schemas.openxmlformats.org/officeDocument/2006/relationships/hyperlink" Target="https://sgn.sesisenai.org.br/pages/diarioClasse/diario-classe.html?idDiario=452618" TargetMode="External"/><Relationship Id="rId26" Type="http://schemas.openxmlformats.org/officeDocument/2006/relationships/hyperlink" Target="https://sgn.sesisenai.org.br/pages/diarioClasse/diario-classe.html?idDiario=452618" TargetMode="External"/><Relationship Id="rId25" Type="http://schemas.openxmlformats.org/officeDocument/2006/relationships/hyperlink" Target="https://sgn.sesisenai.org.br/pages/matricula/movimentoEstudante/movimento-estudante-cadastro.html?idMatricula=2184160" TargetMode="External"/><Relationship Id="rId69" Type="http://schemas.openxmlformats.org/officeDocument/2006/relationships/hyperlink" Target="https://sgn.sesisenai.org.br/pages/matricula/movimentoEstudante/movimento-estudante-cadastro.html?idMatricula=2182536" TargetMode="External"/><Relationship Id="rId28" Type="http://schemas.openxmlformats.org/officeDocument/2006/relationships/hyperlink" Target="https://sgn.sesisenai.org.br/pages/diarioClasse/diario-classe.html?idDiario=452618" TargetMode="External"/><Relationship Id="rId27" Type="http://schemas.openxmlformats.org/officeDocument/2006/relationships/hyperlink" Target="https://sgn.sesisenai.org.br/pages/matricula/movimentoEstudante/movimento-estudante-cadastro.html?idMatricula=2182520" TargetMode="External"/><Relationship Id="rId29" Type="http://schemas.openxmlformats.org/officeDocument/2006/relationships/hyperlink" Target="https://sgn.sesisenai.org.br/pages/matricula/movimentoEstudante/movimento-estudante-cadastro.html?idMatricula=2184062" TargetMode="External"/><Relationship Id="rId51" Type="http://schemas.openxmlformats.org/officeDocument/2006/relationships/hyperlink" Target="https://sgn.sesisenai.org.br/pages/matricula/movimentoEstudante/movimento-estudante-cadastro.html?idMatricula=2191949" TargetMode="External"/><Relationship Id="rId50" Type="http://schemas.openxmlformats.org/officeDocument/2006/relationships/hyperlink" Target="https://sgn.sesisenai.org.br/pages/diarioClasse/diario-classe.html?idDiario=452618" TargetMode="External"/><Relationship Id="rId53" Type="http://schemas.openxmlformats.org/officeDocument/2006/relationships/hyperlink" Target="https://sgn.sesisenai.org.br/pages/matricula/movimentoEstudante/movimento-estudante-cadastro.html?idMatricula=2184059" TargetMode="External"/><Relationship Id="rId52" Type="http://schemas.openxmlformats.org/officeDocument/2006/relationships/hyperlink" Target="https://sgn.sesisenai.org.br/pages/diarioClasse/diario-classe.html?idDiario=452618" TargetMode="External"/><Relationship Id="rId11" Type="http://schemas.openxmlformats.org/officeDocument/2006/relationships/hyperlink" Target="https://sgn.sesisenai.org.br/pages/matricula/movimentoEstudante/movimento-estudante-cadastro.html?idMatricula=2184222" TargetMode="External"/><Relationship Id="rId55" Type="http://schemas.openxmlformats.org/officeDocument/2006/relationships/hyperlink" Target="https://sgn.sesisenai.org.br/pages/matricula/movimentoEstudante/movimento-estudante-cadastro.html?idMatricula=2190535" TargetMode="External"/><Relationship Id="rId10" Type="http://schemas.openxmlformats.org/officeDocument/2006/relationships/hyperlink" Target="https://sgn.sesisenai.org.br/pages/diarioClasse/diario-classe.html?idDiario=452618" TargetMode="External"/><Relationship Id="rId54" Type="http://schemas.openxmlformats.org/officeDocument/2006/relationships/hyperlink" Target="https://sgn.sesisenai.org.br/pages/diarioClasse/diario-classe.html?idDiario=452618" TargetMode="External"/><Relationship Id="rId13" Type="http://schemas.openxmlformats.org/officeDocument/2006/relationships/hyperlink" Target="https://sgn.sesisenai.org.br/pages/matricula/movimentoEstudante/movimento-estudante-cadastro.html?idMatricula=2192585" TargetMode="External"/><Relationship Id="rId57" Type="http://schemas.openxmlformats.org/officeDocument/2006/relationships/hyperlink" Target="https://sgn.sesisenai.org.br/pages/matricula/movimentoEstudante/movimento-estudante-cadastro.html?idMatricula=2191523" TargetMode="External"/><Relationship Id="rId12" Type="http://schemas.openxmlformats.org/officeDocument/2006/relationships/hyperlink" Target="https://sgn.sesisenai.org.br/pages/diarioClasse/diario-classe.html?idDiario=452618" TargetMode="External"/><Relationship Id="rId56" Type="http://schemas.openxmlformats.org/officeDocument/2006/relationships/hyperlink" Target="https://sgn.sesisenai.org.br/pages/diarioClasse/diario-classe.html?idDiario=452618" TargetMode="External"/><Relationship Id="rId15" Type="http://schemas.openxmlformats.org/officeDocument/2006/relationships/hyperlink" Target="https://sgn.sesisenai.org.br/pages/matricula/movimentoEstudante/movimento-estudante-cadastro.html?idMatricula=2182515" TargetMode="External"/><Relationship Id="rId59" Type="http://schemas.openxmlformats.org/officeDocument/2006/relationships/hyperlink" Target="https://sgn.sesisenai.org.br/pages/matricula/movimentoEstudante/movimento-estudante-cadastro.html?idMatricula=2181758" TargetMode="External"/><Relationship Id="rId14" Type="http://schemas.openxmlformats.org/officeDocument/2006/relationships/hyperlink" Target="https://sgn.sesisenai.org.br/pages/diarioClasse/diario-classe.html?idDiario=452618" TargetMode="External"/><Relationship Id="rId58" Type="http://schemas.openxmlformats.org/officeDocument/2006/relationships/hyperlink" Target="https://sgn.sesisenai.org.br/pages/diarioClasse/diario-classe.html?idDiario=452618" TargetMode="External"/><Relationship Id="rId17" Type="http://schemas.openxmlformats.org/officeDocument/2006/relationships/hyperlink" Target="https://sgn.sesisenai.org.br/pages/matricula/movimentoEstudante/movimento-estudante-cadastro.html?idMatricula=2184060" TargetMode="External"/><Relationship Id="rId16" Type="http://schemas.openxmlformats.org/officeDocument/2006/relationships/hyperlink" Target="https://sgn.sesisenai.org.br/pages/diarioClasse/diario-classe.html?idDiario=452618" TargetMode="External"/><Relationship Id="rId19" Type="http://schemas.openxmlformats.org/officeDocument/2006/relationships/hyperlink" Target="https://sgn.sesisenai.org.br/pages/matricula/movimentoEstudante/movimento-estudante-cadastro.html?idMatricula=2182516" TargetMode="External"/><Relationship Id="rId18" Type="http://schemas.openxmlformats.org/officeDocument/2006/relationships/hyperlink" Target="https://sgn.sesisenai.org.br/pages/diarioClasse/diario-classe.html?idDiario=4526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34.38"/>
    <col customWidth="1" min="2" max="2" width="15.38"/>
    <col customWidth="1" min="3" max="3" width="12.88"/>
    <col customWidth="1" min="4" max="4" width="10.88"/>
    <col customWidth="1" min="5" max="5" width="16.88"/>
    <col customWidth="1" min="6" max="6" width="18.63"/>
    <col customWidth="1" min="7" max="7" width="17.75"/>
    <col customWidth="1" min="8" max="8" width="16.63"/>
    <col customWidth="1" min="9" max="9" width="14.75"/>
    <col customWidth="1" min="10" max="10" width="14.38"/>
    <col customWidth="1" min="11" max="11" width="11.25"/>
    <col customWidth="1" min="12" max="12" width="7.75"/>
    <col customWidth="1" min="13" max="13" width="159.25"/>
    <col customWidth="1" min="14" max="17" width="7.63"/>
  </cols>
  <sheetData>
    <row r="1" ht="16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5"/>
    </row>
    <row r="2" ht="100.5" customHeight="1">
      <c r="A2" s="6"/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8" t="s">
        <v>9</v>
      </c>
      <c r="K2" s="8" t="s">
        <v>10</v>
      </c>
      <c r="L2" s="9" t="s">
        <v>11</v>
      </c>
      <c r="M2" s="10" t="s">
        <v>12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8.0" customHeight="1">
      <c r="A3" s="12" t="s">
        <v>13</v>
      </c>
      <c r="B3" s="13">
        <v>2.0</v>
      </c>
      <c r="C3" s="13">
        <v>2.0</v>
      </c>
      <c r="D3" s="13">
        <v>0.5</v>
      </c>
      <c r="E3" s="13">
        <v>1.0</v>
      </c>
      <c r="F3" s="13">
        <v>0.5</v>
      </c>
      <c r="G3" s="13">
        <v>0.5</v>
      </c>
      <c r="H3" s="13">
        <v>0.5</v>
      </c>
      <c r="I3" s="13">
        <v>1.0</v>
      </c>
      <c r="J3" s="13">
        <v>1.0</v>
      </c>
      <c r="K3" s="13">
        <v>1.0</v>
      </c>
      <c r="L3" s="13">
        <f>SUM(A3:K3)</f>
        <v>10</v>
      </c>
      <c r="M3" s="14"/>
    </row>
    <row r="4">
      <c r="A4" s="15" t="s">
        <v>14</v>
      </c>
      <c r="B4" s="16">
        <v>7.0</v>
      </c>
      <c r="C4" s="16">
        <v>5.0</v>
      </c>
      <c r="D4" s="16">
        <v>10.0</v>
      </c>
      <c r="E4" s="16">
        <v>10.0</v>
      </c>
      <c r="F4" s="16">
        <v>10.0</v>
      </c>
      <c r="G4" s="16">
        <v>10.0</v>
      </c>
      <c r="H4" s="16">
        <v>10.0</v>
      </c>
      <c r="I4" s="16">
        <v>10.0</v>
      </c>
      <c r="J4" s="16">
        <v>10.0</v>
      </c>
      <c r="K4" s="16">
        <v>10.0</v>
      </c>
      <c r="L4" s="17">
        <f t="shared" ref="L4:L5" si="1">((B4*$B$3)+(C4*$B$3)+(D4*$D$3)+(E3*$E$3)+(F4*$F$3)+(G4*$G$3)+(H4*$H$3)+(I4*$I$3)+(J4*$J$3)+(K4*$K$3))/10</f>
        <v>7.5</v>
      </c>
      <c r="M4" s="18" t="s">
        <v>15</v>
      </c>
    </row>
    <row r="5">
      <c r="A5" s="15" t="s">
        <v>16</v>
      </c>
      <c r="B5" s="16">
        <v>7.0</v>
      </c>
      <c r="C5" s="16">
        <v>10.0</v>
      </c>
      <c r="D5" s="16">
        <v>7.0</v>
      </c>
      <c r="E5" s="16">
        <v>5.0</v>
      </c>
      <c r="F5" s="16">
        <v>7.0</v>
      </c>
      <c r="G5" s="16">
        <v>7.0</v>
      </c>
      <c r="H5" s="16">
        <v>7.0</v>
      </c>
      <c r="I5" s="16">
        <v>5.0</v>
      </c>
      <c r="J5" s="16">
        <v>7.0</v>
      </c>
      <c r="K5" s="16">
        <v>5.0</v>
      </c>
      <c r="L5" s="17">
        <f t="shared" si="1"/>
        <v>7.5</v>
      </c>
      <c r="M5" s="18" t="s">
        <v>17</v>
      </c>
    </row>
    <row r="6">
      <c r="A6" s="15" t="s">
        <v>18</v>
      </c>
      <c r="B6" s="16">
        <v>8.0</v>
      </c>
      <c r="C6" s="16">
        <v>10.0</v>
      </c>
      <c r="D6" s="16">
        <v>10.0</v>
      </c>
      <c r="E6" s="16">
        <v>10.0</v>
      </c>
      <c r="F6" s="16">
        <v>10.0</v>
      </c>
      <c r="G6" s="16">
        <v>10.0</v>
      </c>
      <c r="H6" s="16">
        <v>10.0</v>
      </c>
      <c r="I6" s="16">
        <v>10.0</v>
      </c>
      <c r="J6" s="16">
        <v>10.0</v>
      </c>
      <c r="K6" s="16">
        <v>10.0</v>
      </c>
      <c r="L6" s="17">
        <f>((B6*$B$3)+(C6*$B$3)+(D6*$D$3)+(E4*$E$3)+(F6*$F$3)+(G6*$G$3)+(H6*$H$3)+(I6*$I$3)+(J6*$J$3)+(K6*$K$3))/10</f>
        <v>9.6</v>
      </c>
      <c r="M6" s="19"/>
    </row>
    <row r="7">
      <c r="A7" s="15" t="s">
        <v>19</v>
      </c>
      <c r="B7" s="16">
        <v>10.0</v>
      </c>
      <c r="C7" s="16">
        <v>10.0</v>
      </c>
      <c r="D7" s="16">
        <v>10.0</v>
      </c>
      <c r="E7" s="16">
        <v>10.0</v>
      </c>
      <c r="F7" s="16">
        <v>10.0</v>
      </c>
      <c r="G7" s="16">
        <v>10.0</v>
      </c>
      <c r="H7" s="16">
        <v>10.0</v>
      </c>
      <c r="I7" s="16">
        <v>10.0</v>
      </c>
      <c r="J7" s="16">
        <v>10.0</v>
      </c>
      <c r="K7" s="16">
        <v>10.0</v>
      </c>
      <c r="L7" s="17">
        <f t="shared" ref="L7:L11" si="2">((B7*$B$3)+(C7*$B$3)+(D7*$D$3)+(E6*$E$3)+(F7*$F$3)+(G7*$G$3)+(H7*$H$3)+(I7*$I$3)+(J7*$J$3)+(K7*$K$3))/10</f>
        <v>10</v>
      </c>
      <c r="M7" s="19"/>
    </row>
    <row r="8">
      <c r="A8" s="15" t="s">
        <v>20</v>
      </c>
      <c r="B8" s="16">
        <v>10.0</v>
      </c>
      <c r="C8" s="16">
        <v>10.0</v>
      </c>
      <c r="D8" s="16">
        <v>10.0</v>
      </c>
      <c r="E8" s="16">
        <v>10.0</v>
      </c>
      <c r="F8" s="16">
        <v>10.0</v>
      </c>
      <c r="G8" s="16">
        <v>10.0</v>
      </c>
      <c r="H8" s="16">
        <v>10.0</v>
      </c>
      <c r="I8" s="16">
        <v>10.0</v>
      </c>
      <c r="J8" s="16">
        <v>10.0</v>
      </c>
      <c r="K8" s="16">
        <v>10.0</v>
      </c>
      <c r="L8" s="17">
        <f t="shared" si="2"/>
        <v>10</v>
      </c>
      <c r="M8" s="19"/>
    </row>
    <row r="9">
      <c r="A9" s="15" t="s">
        <v>21</v>
      </c>
      <c r="B9" s="16">
        <v>8.0</v>
      </c>
      <c r="C9" s="16">
        <v>10.0</v>
      </c>
      <c r="D9" s="16">
        <v>10.0</v>
      </c>
      <c r="E9" s="16">
        <v>10.0</v>
      </c>
      <c r="F9" s="16">
        <v>10.0</v>
      </c>
      <c r="G9" s="16">
        <v>10.0</v>
      </c>
      <c r="H9" s="16">
        <v>10.0</v>
      </c>
      <c r="I9" s="16">
        <v>10.0</v>
      </c>
      <c r="J9" s="16">
        <v>10.0</v>
      </c>
      <c r="K9" s="16">
        <v>10.0</v>
      </c>
      <c r="L9" s="17">
        <f t="shared" si="2"/>
        <v>9.6</v>
      </c>
      <c r="M9" s="19"/>
    </row>
    <row r="10">
      <c r="A10" s="15" t="s">
        <v>22</v>
      </c>
      <c r="B10" s="16">
        <v>5.0</v>
      </c>
      <c r="C10" s="16">
        <v>10.0</v>
      </c>
      <c r="D10" s="16">
        <v>10.0</v>
      </c>
      <c r="E10" s="16">
        <v>5.0</v>
      </c>
      <c r="F10" s="16">
        <v>5.0</v>
      </c>
      <c r="G10" s="16">
        <v>7.0</v>
      </c>
      <c r="H10" s="16">
        <v>7.0</v>
      </c>
      <c r="I10" s="16">
        <v>8.0</v>
      </c>
      <c r="J10" s="16">
        <v>7.0</v>
      </c>
      <c r="K10" s="16">
        <v>7.0</v>
      </c>
      <c r="L10" s="17">
        <f t="shared" si="2"/>
        <v>7.65</v>
      </c>
      <c r="M10" s="18" t="s">
        <v>23</v>
      </c>
    </row>
    <row r="11">
      <c r="A11" s="15" t="s">
        <v>24</v>
      </c>
      <c r="B11" s="16">
        <v>8.0</v>
      </c>
      <c r="C11" s="16">
        <v>10.0</v>
      </c>
      <c r="D11" s="16">
        <v>10.0</v>
      </c>
      <c r="E11" s="16">
        <v>10.0</v>
      </c>
      <c r="F11" s="16">
        <v>10.0</v>
      </c>
      <c r="G11" s="16">
        <v>10.0</v>
      </c>
      <c r="H11" s="16">
        <v>10.0</v>
      </c>
      <c r="I11" s="16">
        <v>10.0</v>
      </c>
      <c r="J11" s="16">
        <v>10.0</v>
      </c>
      <c r="K11" s="16">
        <v>10.0</v>
      </c>
      <c r="L11" s="17">
        <f t="shared" si="2"/>
        <v>9.1</v>
      </c>
      <c r="M11" s="19"/>
    </row>
    <row r="12">
      <c r="A12" s="15" t="s">
        <v>25</v>
      </c>
      <c r="B12" s="16">
        <v>8.0</v>
      </c>
      <c r="C12" s="16">
        <v>10.0</v>
      </c>
      <c r="D12" s="16">
        <v>5.0</v>
      </c>
      <c r="E12" s="16">
        <v>10.0</v>
      </c>
      <c r="F12" s="16">
        <v>10.0</v>
      </c>
      <c r="G12" s="16">
        <v>10.0</v>
      </c>
      <c r="H12" s="16">
        <v>10.0</v>
      </c>
      <c r="I12" s="16">
        <v>10.0</v>
      </c>
      <c r="J12" s="16">
        <v>10.0</v>
      </c>
      <c r="K12" s="16">
        <v>10.0</v>
      </c>
      <c r="L12" s="20">
        <v>7.5</v>
      </c>
      <c r="M12" s="18" t="s">
        <v>26</v>
      </c>
    </row>
    <row r="13">
      <c r="A13" s="15" t="s">
        <v>27</v>
      </c>
      <c r="B13" s="16">
        <v>7.0</v>
      </c>
      <c r="C13" s="16">
        <v>10.0</v>
      </c>
      <c r="D13" s="16">
        <v>7.0</v>
      </c>
      <c r="E13" s="16">
        <v>5.0</v>
      </c>
      <c r="F13" s="16">
        <v>7.0</v>
      </c>
      <c r="G13" s="16">
        <v>7.0</v>
      </c>
      <c r="H13" s="16">
        <v>7.0</v>
      </c>
      <c r="I13" s="16">
        <v>5.0</v>
      </c>
      <c r="J13" s="16">
        <v>7.0</v>
      </c>
      <c r="K13" s="16">
        <v>5.0</v>
      </c>
      <c r="L13" s="17">
        <f t="shared" ref="L13:L39" si="3">((B13*$B$3)+(C13*$B$3)+(D13*$D$3)+(E12*$E$3)+(F13*$F$3)+(G13*$G$3)+(H13*$H$3)+(I13*$I$3)+(J13*$J$3)+(K13*$K$3))/10</f>
        <v>7.5</v>
      </c>
      <c r="M13" s="18" t="s">
        <v>17</v>
      </c>
    </row>
    <row r="14">
      <c r="A14" s="15" t="s">
        <v>28</v>
      </c>
      <c r="B14" s="16">
        <v>7.0</v>
      </c>
      <c r="C14" s="16">
        <v>10.0</v>
      </c>
      <c r="D14" s="16">
        <v>7.0</v>
      </c>
      <c r="E14" s="16">
        <v>5.0</v>
      </c>
      <c r="F14" s="16">
        <v>7.0</v>
      </c>
      <c r="G14" s="16">
        <v>7.0</v>
      </c>
      <c r="H14" s="16">
        <v>7.0</v>
      </c>
      <c r="I14" s="16">
        <v>5.0</v>
      </c>
      <c r="J14" s="16">
        <v>7.0</v>
      </c>
      <c r="K14" s="16">
        <v>5.0</v>
      </c>
      <c r="L14" s="17">
        <f t="shared" si="3"/>
        <v>7</v>
      </c>
      <c r="M14" s="18" t="s">
        <v>17</v>
      </c>
    </row>
    <row r="15">
      <c r="A15" s="15" t="s">
        <v>29</v>
      </c>
      <c r="B15" s="16">
        <v>8.0</v>
      </c>
      <c r="C15" s="16">
        <v>10.0</v>
      </c>
      <c r="D15" s="16">
        <v>10.0</v>
      </c>
      <c r="E15" s="16">
        <v>10.0</v>
      </c>
      <c r="F15" s="16">
        <v>10.0</v>
      </c>
      <c r="G15" s="16">
        <v>10.0</v>
      </c>
      <c r="H15" s="16">
        <v>10.0</v>
      </c>
      <c r="I15" s="16">
        <v>10.0</v>
      </c>
      <c r="J15" s="16">
        <v>10.0</v>
      </c>
      <c r="K15" s="16">
        <v>10.0</v>
      </c>
      <c r="L15" s="17">
        <f t="shared" si="3"/>
        <v>9.1</v>
      </c>
      <c r="M15" s="19"/>
    </row>
    <row r="16">
      <c r="A16" s="15" t="s">
        <v>30</v>
      </c>
      <c r="B16" s="16">
        <v>8.0</v>
      </c>
      <c r="C16" s="16">
        <v>10.0</v>
      </c>
      <c r="D16" s="16">
        <v>10.0</v>
      </c>
      <c r="E16" s="16">
        <v>10.0</v>
      </c>
      <c r="F16" s="16">
        <v>10.0</v>
      </c>
      <c r="G16" s="16">
        <v>10.0</v>
      </c>
      <c r="H16" s="16">
        <v>10.0</v>
      </c>
      <c r="I16" s="16">
        <v>10.0</v>
      </c>
      <c r="J16" s="16">
        <v>10.0</v>
      </c>
      <c r="K16" s="16">
        <v>10.0</v>
      </c>
      <c r="L16" s="17">
        <f t="shared" si="3"/>
        <v>9.6</v>
      </c>
      <c r="M16" s="19"/>
    </row>
    <row r="17">
      <c r="A17" s="15" t="s">
        <v>31</v>
      </c>
      <c r="B17" s="16">
        <v>8.0</v>
      </c>
      <c r="C17" s="16">
        <v>10.0</v>
      </c>
      <c r="D17" s="16">
        <v>10.0</v>
      </c>
      <c r="E17" s="16">
        <v>10.0</v>
      </c>
      <c r="F17" s="16">
        <v>10.0</v>
      </c>
      <c r="G17" s="16">
        <v>10.0</v>
      </c>
      <c r="H17" s="16">
        <v>10.0</v>
      </c>
      <c r="I17" s="16">
        <v>10.0</v>
      </c>
      <c r="J17" s="16">
        <v>10.0</v>
      </c>
      <c r="K17" s="16">
        <v>10.0</v>
      </c>
      <c r="L17" s="17">
        <f t="shared" si="3"/>
        <v>9.6</v>
      </c>
      <c r="M17" s="19"/>
    </row>
    <row r="18">
      <c r="A18" s="15" t="s">
        <v>32</v>
      </c>
      <c r="B18" s="16">
        <v>8.0</v>
      </c>
      <c r="C18" s="16">
        <v>10.0</v>
      </c>
      <c r="D18" s="16">
        <v>5.0</v>
      </c>
      <c r="E18" s="16">
        <v>10.0</v>
      </c>
      <c r="F18" s="16">
        <v>10.0</v>
      </c>
      <c r="G18" s="16">
        <v>10.0</v>
      </c>
      <c r="H18" s="16">
        <v>10.0</v>
      </c>
      <c r="I18" s="16">
        <v>10.0</v>
      </c>
      <c r="J18" s="16">
        <v>10.0</v>
      </c>
      <c r="K18" s="16">
        <v>10.0</v>
      </c>
      <c r="L18" s="17">
        <f t="shared" si="3"/>
        <v>9.35</v>
      </c>
      <c r="M18" s="18" t="s">
        <v>33</v>
      </c>
    </row>
    <row r="19">
      <c r="A19" s="15" t="s">
        <v>34</v>
      </c>
      <c r="B19" s="16">
        <v>8.0</v>
      </c>
      <c r="C19" s="16">
        <v>10.0</v>
      </c>
      <c r="D19" s="16">
        <v>10.0</v>
      </c>
      <c r="E19" s="16">
        <v>10.0</v>
      </c>
      <c r="F19" s="16">
        <v>10.0</v>
      </c>
      <c r="G19" s="16">
        <v>10.0</v>
      </c>
      <c r="H19" s="16">
        <v>10.0</v>
      </c>
      <c r="I19" s="16">
        <v>10.0</v>
      </c>
      <c r="J19" s="16">
        <v>10.0</v>
      </c>
      <c r="K19" s="16">
        <v>10.0</v>
      </c>
      <c r="L19" s="17">
        <f t="shared" si="3"/>
        <v>9.6</v>
      </c>
      <c r="M19" s="19"/>
    </row>
    <row r="20">
      <c r="A20" s="15" t="s">
        <v>35</v>
      </c>
      <c r="B20" s="16">
        <v>8.0</v>
      </c>
      <c r="C20" s="16">
        <v>10.0</v>
      </c>
      <c r="D20" s="16">
        <v>10.0</v>
      </c>
      <c r="E20" s="16">
        <v>10.0</v>
      </c>
      <c r="F20" s="16">
        <v>10.0</v>
      </c>
      <c r="G20" s="16">
        <v>10.0</v>
      </c>
      <c r="H20" s="16">
        <v>10.0</v>
      </c>
      <c r="I20" s="16">
        <v>10.0</v>
      </c>
      <c r="J20" s="16">
        <v>10.0</v>
      </c>
      <c r="K20" s="16">
        <v>10.0</v>
      </c>
      <c r="L20" s="17">
        <f t="shared" si="3"/>
        <v>9.6</v>
      </c>
      <c r="M20" s="19"/>
    </row>
    <row r="21">
      <c r="A21" s="15" t="s">
        <v>36</v>
      </c>
      <c r="B21" s="16">
        <v>8.0</v>
      </c>
      <c r="C21" s="16">
        <v>10.0</v>
      </c>
      <c r="D21" s="16">
        <v>10.0</v>
      </c>
      <c r="E21" s="16">
        <v>10.0</v>
      </c>
      <c r="F21" s="16">
        <v>10.0</v>
      </c>
      <c r="G21" s="16">
        <v>10.0</v>
      </c>
      <c r="H21" s="16">
        <v>10.0</v>
      </c>
      <c r="I21" s="16">
        <v>10.0</v>
      </c>
      <c r="J21" s="16">
        <v>10.0</v>
      </c>
      <c r="K21" s="16">
        <v>10.0</v>
      </c>
      <c r="L21" s="17">
        <f t="shared" si="3"/>
        <v>9.6</v>
      </c>
      <c r="M21" s="19"/>
    </row>
    <row r="22">
      <c r="A22" s="15" t="s">
        <v>37</v>
      </c>
      <c r="B22" s="16">
        <v>10.0</v>
      </c>
      <c r="C22" s="16">
        <v>10.0</v>
      </c>
      <c r="D22" s="16">
        <v>10.0</v>
      </c>
      <c r="E22" s="16">
        <v>10.0</v>
      </c>
      <c r="F22" s="16">
        <v>10.0</v>
      </c>
      <c r="G22" s="16">
        <v>10.0</v>
      </c>
      <c r="H22" s="16">
        <v>10.0</v>
      </c>
      <c r="I22" s="16">
        <v>10.0</v>
      </c>
      <c r="J22" s="16">
        <v>10.0</v>
      </c>
      <c r="K22" s="16">
        <v>10.0</v>
      </c>
      <c r="L22" s="17">
        <f t="shared" si="3"/>
        <v>10</v>
      </c>
      <c r="M22" s="19"/>
    </row>
    <row r="23">
      <c r="A23" s="15" t="s">
        <v>38</v>
      </c>
      <c r="B23" s="16">
        <v>7.0</v>
      </c>
      <c r="C23" s="16">
        <v>10.0</v>
      </c>
      <c r="D23" s="16">
        <v>7.0</v>
      </c>
      <c r="E23" s="16">
        <v>5.0</v>
      </c>
      <c r="F23" s="16">
        <v>7.0</v>
      </c>
      <c r="G23" s="16">
        <v>7.0</v>
      </c>
      <c r="H23" s="16">
        <v>7.0</v>
      </c>
      <c r="I23" s="16">
        <v>5.0</v>
      </c>
      <c r="J23" s="16">
        <v>7.0</v>
      </c>
      <c r="K23" s="16">
        <v>5.0</v>
      </c>
      <c r="L23" s="17">
        <f t="shared" si="3"/>
        <v>7.5</v>
      </c>
      <c r="M23" s="18" t="s">
        <v>17</v>
      </c>
    </row>
    <row r="24">
      <c r="A24" s="15" t="s">
        <v>39</v>
      </c>
      <c r="B24" s="16">
        <v>10.0</v>
      </c>
      <c r="C24" s="16">
        <v>10.0</v>
      </c>
      <c r="D24" s="16">
        <v>10.0</v>
      </c>
      <c r="E24" s="16">
        <v>10.0</v>
      </c>
      <c r="F24" s="16">
        <v>10.0</v>
      </c>
      <c r="G24" s="16">
        <v>10.0</v>
      </c>
      <c r="H24" s="16">
        <v>10.0</v>
      </c>
      <c r="I24" s="16">
        <v>10.0</v>
      </c>
      <c r="J24" s="16">
        <v>10.0</v>
      </c>
      <c r="K24" s="16">
        <v>10.0</v>
      </c>
      <c r="L24" s="17">
        <f t="shared" si="3"/>
        <v>9.5</v>
      </c>
      <c r="M24" s="19"/>
    </row>
    <row r="25">
      <c r="A25" s="15" t="s">
        <v>40</v>
      </c>
      <c r="B25" s="16">
        <v>8.0</v>
      </c>
      <c r="C25" s="16">
        <v>10.0</v>
      </c>
      <c r="D25" s="16">
        <v>10.0</v>
      </c>
      <c r="E25" s="16">
        <v>10.0</v>
      </c>
      <c r="F25" s="16">
        <v>7.0</v>
      </c>
      <c r="G25" s="16">
        <v>8.0</v>
      </c>
      <c r="H25" s="16">
        <v>8.0</v>
      </c>
      <c r="I25" s="16">
        <v>8.0</v>
      </c>
      <c r="J25" s="16">
        <v>8.0</v>
      </c>
      <c r="K25" s="16">
        <v>10.0</v>
      </c>
      <c r="L25" s="17">
        <f t="shared" si="3"/>
        <v>8.85</v>
      </c>
      <c r="M25" s="18" t="s">
        <v>41</v>
      </c>
    </row>
    <row r="26">
      <c r="A26" s="15" t="s">
        <v>42</v>
      </c>
      <c r="B26" s="16">
        <v>7.0</v>
      </c>
      <c r="C26" s="16">
        <v>10.0</v>
      </c>
      <c r="D26" s="16">
        <v>9.0</v>
      </c>
      <c r="E26" s="16">
        <v>5.0</v>
      </c>
      <c r="F26" s="16">
        <v>8.0</v>
      </c>
      <c r="G26" s="16">
        <v>8.0</v>
      </c>
      <c r="H26" s="16">
        <v>8.0</v>
      </c>
      <c r="I26" s="16">
        <v>5.0</v>
      </c>
      <c r="J26" s="16">
        <v>7.0</v>
      </c>
      <c r="K26" s="16">
        <v>5.0</v>
      </c>
      <c r="L26" s="17">
        <f t="shared" si="3"/>
        <v>7.75</v>
      </c>
      <c r="M26" s="18" t="s">
        <v>17</v>
      </c>
    </row>
    <row r="27">
      <c r="A27" s="15" t="s">
        <v>43</v>
      </c>
      <c r="B27" s="16">
        <v>10.0</v>
      </c>
      <c r="C27" s="16">
        <v>10.0</v>
      </c>
      <c r="D27" s="16">
        <v>10.0</v>
      </c>
      <c r="E27" s="16">
        <v>10.0</v>
      </c>
      <c r="F27" s="16">
        <v>10.0</v>
      </c>
      <c r="G27" s="16">
        <v>10.0</v>
      </c>
      <c r="H27" s="16">
        <v>10.0</v>
      </c>
      <c r="I27" s="16">
        <v>10.0</v>
      </c>
      <c r="J27" s="16">
        <v>10.0</v>
      </c>
      <c r="K27" s="16">
        <v>10.0</v>
      </c>
      <c r="L27" s="17">
        <f t="shared" si="3"/>
        <v>9.5</v>
      </c>
      <c r="M27" s="19"/>
    </row>
    <row r="28">
      <c r="A28" s="15" t="s">
        <v>44</v>
      </c>
      <c r="B28" s="16">
        <v>10.0</v>
      </c>
      <c r="C28" s="16">
        <v>10.0</v>
      </c>
      <c r="D28" s="16">
        <v>10.0</v>
      </c>
      <c r="E28" s="16">
        <v>10.0</v>
      </c>
      <c r="F28" s="16">
        <v>10.0</v>
      </c>
      <c r="G28" s="16">
        <v>10.0</v>
      </c>
      <c r="H28" s="16">
        <v>10.0</v>
      </c>
      <c r="I28" s="16">
        <v>10.0</v>
      </c>
      <c r="J28" s="16">
        <v>10.0</v>
      </c>
      <c r="K28" s="16">
        <v>10.0</v>
      </c>
      <c r="L28" s="17">
        <f t="shared" si="3"/>
        <v>10</v>
      </c>
      <c r="M28" s="19"/>
    </row>
    <row r="29">
      <c r="A29" s="15" t="s">
        <v>45</v>
      </c>
      <c r="B29" s="16">
        <v>8.0</v>
      </c>
      <c r="C29" s="16">
        <v>10.0</v>
      </c>
      <c r="D29" s="16">
        <v>10.0</v>
      </c>
      <c r="E29" s="16">
        <v>10.0</v>
      </c>
      <c r="F29" s="16">
        <v>10.0</v>
      </c>
      <c r="G29" s="16">
        <v>10.0</v>
      </c>
      <c r="H29" s="16">
        <v>10.0</v>
      </c>
      <c r="I29" s="16">
        <v>10.0</v>
      </c>
      <c r="J29" s="16">
        <v>10.0</v>
      </c>
      <c r="K29" s="16">
        <v>10.0</v>
      </c>
      <c r="L29" s="17">
        <f t="shared" si="3"/>
        <v>9.6</v>
      </c>
      <c r="M29" s="19"/>
    </row>
    <row r="30">
      <c r="A30" s="15" t="s">
        <v>46</v>
      </c>
      <c r="B30" s="16">
        <v>8.0</v>
      </c>
      <c r="C30" s="16">
        <v>10.0</v>
      </c>
      <c r="D30" s="16">
        <v>10.0</v>
      </c>
      <c r="E30" s="16">
        <v>10.0</v>
      </c>
      <c r="F30" s="16">
        <v>10.0</v>
      </c>
      <c r="G30" s="16">
        <v>10.0</v>
      </c>
      <c r="H30" s="16">
        <v>10.0</v>
      </c>
      <c r="I30" s="16">
        <v>10.0</v>
      </c>
      <c r="J30" s="16">
        <v>10.0</v>
      </c>
      <c r="K30" s="16">
        <v>10.0</v>
      </c>
      <c r="L30" s="17">
        <f t="shared" si="3"/>
        <v>9.6</v>
      </c>
      <c r="M30" s="19"/>
    </row>
    <row r="31">
      <c r="A31" s="15" t="s">
        <v>47</v>
      </c>
      <c r="B31" s="16">
        <v>8.0</v>
      </c>
      <c r="C31" s="16">
        <v>10.0</v>
      </c>
      <c r="D31" s="16">
        <v>10.0</v>
      </c>
      <c r="E31" s="16">
        <v>10.0</v>
      </c>
      <c r="F31" s="16">
        <v>10.0</v>
      </c>
      <c r="G31" s="16">
        <v>10.0</v>
      </c>
      <c r="H31" s="16">
        <v>10.0</v>
      </c>
      <c r="I31" s="16">
        <v>10.0</v>
      </c>
      <c r="J31" s="16">
        <v>10.0</v>
      </c>
      <c r="K31" s="16">
        <v>10.0</v>
      </c>
      <c r="L31" s="17">
        <f t="shared" si="3"/>
        <v>9.6</v>
      </c>
      <c r="M31" s="19"/>
    </row>
    <row r="32">
      <c r="A32" s="15" t="s">
        <v>48</v>
      </c>
      <c r="B32" s="16">
        <v>8.0</v>
      </c>
      <c r="C32" s="16">
        <v>10.0</v>
      </c>
      <c r="D32" s="16">
        <v>10.0</v>
      </c>
      <c r="E32" s="16">
        <v>10.0</v>
      </c>
      <c r="F32" s="16">
        <v>10.0</v>
      </c>
      <c r="G32" s="16">
        <v>10.0</v>
      </c>
      <c r="H32" s="16">
        <v>10.0</v>
      </c>
      <c r="I32" s="16">
        <v>10.0</v>
      </c>
      <c r="J32" s="16">
        <v>10.0</v>
      </c>
      <c r="K32" s="16">
        <v>10.0</v>
      </c>
      <c r="L32" s="17">
        <f t="shared" si="3"/>
        <v>9.6</v>
      </c>
      <c r="M32" s="19"/>
    </row>
    <row r="33">
      <c r="A33" s="15" t="s">
        <v>49</v>
      </c>
      <c r="B33" s="16">
        <v>10.0</v>
      </c>
      <c r="C33" s="16">
        <v>10.0</v>
      </c>
      <c r="D33" s="16">
        <v>10.0</v>
      </c>
      <c r="E33" s="16">
        <v>10.0</v>
      </c>
      <c r="F33" s="16">
        <v>10.0</v>
      </c>
      <c r="G33" s="16">
        <v>10.0</v>
      </c>
      <c r="H33" s="16">
        <v>10.0</v>
      </c>
      <c r="I33" s="16">
        <v>10.0</v>
      </c>
      <c r="J33" s="16">
        <v>10.0</v>
      </c>
      <c r="K33" s="16">
        <v>10.0</v>
      </c>
      <c r="L33" s="17">
        <f t="shared" si="3"/>
        <v>10</v>
      </c>
      <c r="M33" s="19"/>
    </row>
    <row r="34">
      <c r="A34" s="15" t="s">
        <v>50</v>
      </c>
      <c r="B34" s="16">
        <v>8.0</v>
      </c>
      <c r="C34" s="16">
        <v>10.0</v>
      </c>
      <c r="D34" s="16">
        <v>10.0</v>
      </c>
      <c r="E34" s="16">
        <v>10.0</v>
      </c>
      <c r="F34" s="16">
        <v>10.0</v>
      </c>
      <c r="G34" s="16">
        <v>10.0</v>
      </c>
      <c r="H34" s="16">
        <v>10.0</v>
      </c>
      <c r="I34" s="16">
        <v>10.0</v>
      </c>
      <c r="J34" s="16">
        <v>10.0</v>
      </c>
      <c r="K34" s="16">
        <v>10.0</v>
      </c>
      <c r="L34" s="17">
        <f t="shared" si="3"/>
        <v>9.6</v>
      </c>
      <c r="M34" s="19"/>
    </row>
    <row r="35">
      <c r="A35" s="15" t="s">
        <v>51</v>
      </c>
      <c r="B35" s="16">
        <v>8.0</v>
      </c>
      <c r="C35" s="16">
        <v>10.0</v>
      </c>
      <c r="D35" s="16">
        <v>10.0</v>
      </c>
      <c r="E35" s="16">
        <v>10.0</v>
      </c>
      <c r="F35" s="16">
        <v>7.0</v>
      </c>
      <c r="G35" s="16">
        <v>8.0</v>
      </c>
      <c r="H35" s="16">
        <v>8.0</v>
      </c>
      <c r="I35" s="16">
        <v>8.0</v>
      </c>
      <c r="J35" s="16">
        <v>8.0</v>
      </c>
      <c r="K35" s="16">
        <v>10.0</v>
      </c>
      <c r="L35" s="17">
        <f t="shared" si="3"/>
        <v>8.85</v>
      </c>
      <c r="M35" s="18" t="s">
        <v>41</v>
      </c>
    </row>
    <row r="36">
      <c r="A36" s="15" t="s">
        <v>52</v>
      </c>
      <c r="B36" s="16">
        <v>8.0</v>
      </c>
      <c r="C36" s="16">
        <v>10.0</v>
      </c>
      <c r="D36" s="16">
        <v>10.0</v>
      </c>
      <c r="E36" s="16">
        <v>10.0</v>
      </c>
      <c r="F36" s="16">
        <v>10.0</v>
      </c>
      <c r="G36" s="16">
        <v>10.0</v>
      </c>
      <c r="H36" s="16">
        <v>10.0</v>
      </c>
      <c r="I36" s="16">
        <v>10.0</v>
      </c>
      <c r="J36" s="16">
        <v>10.0</v>
      </c>
      <c r="K36" s="16">
        <v>10.0</v>
      </c>
      <c r="L36" s="17">
        <f t="shared" si="3"/>
        <v>9.6</v>
      </c>
      <c r="M36" s="19"/>
    </row>
    <row r="37">
      <c r="A37" s="15" t="s">
        <v>53</v>
      </c>
      <c r="B37" s="16">
        <v>8.0</v>
      </c>
      <c r="C37" s="16">
        <v>10.0</v>
      </c>
      <c r="D37" s="16">
        <v>10.0</v>
      </c>
      <c r="E37" s="16">
        <v>10.0</v>
      </c>
      <c r="F37" s="16">
        <v>10.0</v>
      </c>
      <c r="G37" s="16">
        <v>10.0</v>
      </c>
      <c r="H37" s="16">
        <v>10.0</v>
      </c>
      <c r="I37" s="16">
        <v>10.0</v>
      </c>
      <c r="J37" s="16">
        <v>10.0</v>
      </c>
      <c r="K37" s="16">
        <v>10.0</v>
      </c>
      <c r="L37" s="17">
        <f t="shared" si="3"/>
        <v>9.6</v>
      </c>
      <c r="M37" s="19"/>
    </row>
    <row r="38">
      <c r="A38" s="15" t="s">
        <v>54</v>
      </c>
      <c r="B38" s="16">
        <v>10.0</v>
      </c>
      <c r="C38" s="16">
        <v>10.0</v>
      </c>
      <c r="D38" s="16">
        <v>10.0</v>
      </c>
      <c r="E38" s="16">
        <v>10.0</v>
      </c>
      <c r="F38" s="16">
        <v>10.0</v>
      </c>
      <c r="G38" s="16">
        <v>10.0</v>
      </c>
      <c r="H38" s="16">
        <v>10.0</v>
      </c>
      <c r="I38" s="16">
        <v>10.0</v>
      </c>
      <c r="J38" s="16">
        <v>10.0</v>
      </c>
      <c r="K38" s="16">
        <v>10.0</v>
      </c>
      <c r="L38" s="17">
        <f t="shared" si="3"/>
        <v>10</v>
      </c>
      <c r="M38" s="19"/>
    </row>
    <row r="39">
      <c r="A39" s="15" t="s">
        <v>55</v>
      </c>
      <c r="B39" s="16">
        <v>10.0</v>
      </c>
      <c r="C39" s="16">
        <v>10.0</v>
      </c>
      <c r="D39" s="16">
        <v>10.0</v>
      </c>
      <c r="E39" s="16">
        <v>10.0</v>
      </c>
      <c r="F39" s="16">
        <v>10.0</v>
      </c>
      <c r="G39" s="16">
        <v>10.0</v>
      </c>
      <c r="H39" s="16">
        <v>10.0</v>
      </c>
      <c r="I39" s="16">
        <v>10.0</v>
      </c>
      <c r="J39" s="16">
        <v>10.0</v>
      </c>
      <c r="K39" s="16">
        <v>10.0</v>
      </c>
      <c r="L39" s="17">
        <f t="shared" si="3"/>
        <v>10</v>
      </c>
      <c r="M39" s="19"/>
    </row>
    <row r="40" ht="15.75" customHeight="1">
      <c r="A40" s="21"/>
    </row>
    <row r="41" ht="15.75" customHeight="1">
      <c r="A41" s="21"/>
    </row>
    <row r="42" ht="15.75" customHeight="1">
      <c r="A42" s="21"/>
    </row>
    <row r="43" ht="15.75" customHeight="1">
      <c r="A43" s="21"/>
    </row>
    <row r="44" ht="15.75" customHeight="1">
      <c r="A44" s="21"/>
    </row>
    <row r="45" ht="15.75" customHeight="1">
      <c r="A45" s="21"/>
    </row>
    <row r="46" ht="15.75" customHeight="1">
      <c r="A46" s="21"/>
    </row>
    <row r="47" ht="15.75" customHeight="1">
      <c r="A47" s="21"/>
    </row>
    <row r="48" ht="15.75" customHeight="1">
      <c r="A48" s="21"/>
    </row>
    <row r="49" ht="15.75" customHeight="1">
      <c r="A49" s="21"/>
    </row>
    <row r="50" ht="15.75" customHeight="1">
      <c r="A50" s="21"/>
    </row>
    <row r="51" ht="15.75" customHeight="1">
      <c r="A51" s="21"/>
    </row>
    <row r="52" ht="15.75" customHeight="1">
      <c r="A52" s="21"/>
    </row>
    <row r="53" ht="15.75" customHeight="1">
      <c r="A53" s="21"/>
    </row>
    <row r="54" ht="15.75" customHeight="1">
      <c r="A54" s="21"/>
    </row>
    <row r="55" ht="15.75" customHeight="1">
      <c r="A55" s="21"/>
    </row>
    <row r="56" ht="15.75" customHeight="1">
      <c r="A56" s="21"/>
    </row>
    <row r="57" ht="15.75" customHeight="1">
      <c r="A57" s="21"/>
    </row>
    <row r="58" ht="15.75" customHeight="1">
      <c r="A58" s="21"/>
      <c r="B58" s="22"/>
      <c r="C58" s="23"/>
      <c r="E58" s="22"/>
    </row>
    <row r="59" ht="15.75" customHeight="1">
      <c r="A59" s="21"/>
    </row>
    <row r="60" ht="15.75" customHeight="1">
      <c r="A60" s="21"/>
    </row>
    <row r="61" ht="15.75" customHeight="1">
      <c r="A61" s="21"/>
    </row>
    <row r="62" ht="15.75" customHeight="1">
      <c r="A62" s="21"/>
    </row>
    <row r="63" ht="15.75" customHeight="1">
      <c r="A63" s="21"/>
    </row>
    <row r="64" ht="15.75" customHeight="1">
      <c r="A64" s="21"/>
    </row>
    <row r="65" ht="15.75" customHeight="1">
      <c r="A65" s="21"/>
    </row>
    <row r="66" ht="15.75" customHeight="1">
      <c r="A66" s="21"/>
    </row>
    <row r="67" ht="15.75" customHeight="1">
      <c r="A67" s="21"/>
    </row>
    <row r="68" ht="15.75" customHeight="1">
      <c r="A68" s="21"/>
    </row>
    <row r="69" ht="15.75" customHeight="1">
      <c r="A69" s="21"/>
    </row>
    <row r="70" ht="15.75" customHeight="1">
      <c r="A70" s="21"/>
    </row>
    <row r="71" ht="15.75" customHeight="1">
      <c r="A71" s="21"/>
    </row>
    <row r="72" ht="15.75" customHeight="1">
      <c r="A72" s="21"/>
    </row>
    <row r="73" ht="15.75" customHeight="1">
      <c r="A73" s="21"/>
    </row>
    <row r="74" ht="15.75" customHeight="1">
      <c r="A74" s="21"/>
    </row>
    <row r="75" ht="15.75" customHeight="1">
      <c r="A75" s="21"/>
    </row>
    <row r="76" ht="15.75" customHeight="1">
      <c r="A76" s="21"/>
    </row>
    <row r="77" ht="15.75" customHeight="1">
      <c r="A77" s="21"/>
    </row>
    <row r="78" ht="15.75" customHeight="1">
      <c r="A78" s="21"/>
    </row>
    <row r="79" ht="15.75" customHeight="1">
      <c r="A79" s="21"/>
    </row>
    <row r="80" ht="15.75" customHeight="1">
      <c r="A80" s="21"/>
    </row>
    <row r="81" ht="15.75" customHeight="1">
      <c r="A81" s="21"/>
    </row>
    <row r="82" ht="15.75" customHeight="1">
      <c r="A82" s="21"/>
    </row>
    <row r="83" ht="15.75" customHeight="1">
      <c r="A83" s="21"/>
    </row>
    <row r="84" ht="15.75" customHeight="1">
      <c r="A84" s="21"/>
    </row>
    <row r="85" ht="15.75" customHeight="1">
      <c r="A85" s="21"/>
    </row>
    <row r="86" ht="15.75" customHeight="1">
      <c r="A86" s="21"/>
    </row>
    <row r="87" ht="15.75" customHeight="1">
      <c r="A87" s="21"/>
    </row>
    <row r="88" ht="15.75" customHeight="1">
      <c r="A88" s="21"/>
    </row>
    <row r="89" ht="15.75" customHeight="1">
      <c r="A89" s="21"/>
    </row>
    <row r="90" ht="15.75" customHeight="1">
      <c r="A90" s="21"/>
    </row>
    <row r="91" ht="15.75" customHeight="1">
      <c r="A91" s="21"/>
    </row>
    <row r="92" ht="15.75" customHeight="1">
      <c r="A92" s="21"/>
    </row>
    <row r="93" ht="15.75" customHeight="1">
      <c r="A93" s="21"/>
    </row>
    <row r="94" ht="15.75" customHeight="1">
      <c r="A94" s="21"/>
    </row>
    <row r="95" ht="15.75" customHeight="1">
      <c r="A95" s="21"/>
    </row>
    <row r="96" ht="15.75" customHeight="1">
      <c r="A96" s="21"/>
    </row>
    <row r="97" ht="15.75" customHeight="1">
      <c r="A97" s="21"/>
    </row>
    <row r="98" ht="15.75" customHeight="1">
      <c r="A98" s="21"/>
    </row>
    <row r="99" ht="15.75" customHeight="1">
      <c r="A99" s="21"/>
    </row>
    <row r="100" ht="15.75" customHeight="1">
      <c r="A100" s="21"/>
    </row>
    <row r="101" ht="15.75" customHeight="1">
      <c r="A101" s="21"/>
    </row>
    <row r="102" ht="15.75" customHeight="1">
      <c r="A102" s="21"/>
    </row>
    <row r="103" ht="15.75" customHeight="1">
      <c r="A103" s="21"/>
    </row>
    <row r="104" ht="15.75" customHeight="1">
      <c r="A104" s="21"/>
    </row>
    <row r="105" ht="15.75" customHeight="1">
      <c r="A105" s="21"/>
    </row>
    <row r="106" ht="15.75" customHeight="1">
      <c r="A106" s="21"/>
    </row>
    <row r="107" ht="15.75" customHeight="1">
      <c r="A107" s="21"/>
    </row>
    <row r="108" ht="15.75" customHeight="1">
      <c r="A108" s="21"/>
    </row>
    <row r="109" ht="15.75" customHeight="1">
      <c r="A109" s="21"/>
    </row>
    <row r="110" ht="15.75" customHeight="1">
      <c r="A110" s="21"/>
    </row>
    <row r="111" ht="15.75" customHeight="1">
      <c r="A111" s="21"/>
    </row>
    <row r="112" ht="15.75" customHeight="1">
      <c r="A112" s="21"/>
    </row>
    <row r="113" ht="15.75" customHeight="1">
      <c r="A113" s="21"/>
    </row>
    <row r="114" ht="15.75" customHeight="1">
      <c r="A114" s="21"/>
    </row>
    <row r="115" ht="15.75" customHeight="1">
      <c r="A115" s="21"/>
    </row>
    <row r="116" ht="15.75" customHeight="1">
      <c r="A116" s="21"/>
    </row>
    <row r="117" ht="15.75" customHeight="1">
      <c r="A117" s="21"/>
    </row>
    <row r="118" ht="15.75" customHeight="1">
      <c r="A118" s="21"/>
    </row>
    <row r="119" ht="15.75" customHeight="1">
      <c r="A119" s="21"/>
    </row>
    <row r="120" ht="15.75" customHeight="1">
      <c r="A120" s="21"/>
    </row>
    <row r="121" ht="15.75" customHeight="1">
      <c r="A121" s="21"/>
    </row>
    <row r="122" ht="15.75" customHeight="1">
      <c r="A122" s="21"/>
    </row>
    <row r="123" ht="15.75" customHeight="1">
      <c r="A123" s="21"/>
    </row>
    <row r="124" ht="15.75" customHeight="1">
      <c r="A124" s="21"/>
    </row>
    <row r="125" ht="15.75" customHeight="1">
      <c r="A125" s="21"/>
    </row>
    <row r="126" ht="15.75" customHeight="1">
      <c r="A126" s="21"/>
    </row>
    <row r="127" ht="15.75" customHeight="1">
      <c r="A127" s="21"/>
    </row>
    <row r="128" ht="15.75" customHeight="1">
      <c r="A128" s="21"/>
    </row>
    <row r="129" ht="15.75" customHeight="1">
      <c r="A129" s="21"/>
    </row>
    <row r="130" ht="15.75" customHeight="1">
      <c r="A130" s="21"/>
    </row>
    <row r="131" ht="15.75" customHeight="1">
      <c r="A131" s="21"/>
    </row>
    <row r="132" ht="15.75" customHeight="1">
      <c r="A132" s="21"/>
    </row>
    <row r="133" ht="15.75" customHeight="1">
      <c r="A133" s="21"/>
    </row>
    <row r="134" ht="15.75" customHeight="1">
      <c r="A134" s="21"/>
    </row>
    <row r="135" ht="15.75" customHeight="1">
      <c r="A135" s="21"/>
    </row>
    <row r="136" ht="15.75" customHeight="1">
      <c r="A136" s="21"/>
    </row>
    <row r="137" ht="15.75" customHeight="1">
      <c r="A137" s="21"/>
    </row>
    <row r="138" ht="15.75" customHeight="1">
      <c r="A138" s="21"/>
    </row>
    <row r="139" ht="15.75" customHeight="1">
      <c r="A139" s="21"/>
    </row>
    <row r="140" ht="15.75" customHeight="1">
      <c r="A140" s="21"/>
    </row>
    <row r="141" ht="15.75" customHeight="1">
      <c r="A141" s="21"/>
    </row>
    <row r="142" ht="15.75" customHeight="1">
      <c r="A142" s="21"/>
    </row>
    <row r="143" ht="15.75" customHeight="1">
      <c r="A143" s="21"/>
    </row>
    <row r="144" ht="15.75" customHeight="1">
      <c r="A144" s="21"/>
    </row>
    <row r="145" ht="15.75" customHeight="1">
      <c r="A145" s="21"/>
    </row>
    <row r="146" ht="15.75" customHeight="1">
      <c r="A146" s="21"/>
    </row>
    <row r="147" ht="15.75" customHeight="1">
      <c r="A147" s="21"/>
    </row>
    <row r="148" ht="15.75" customHeight="1">
      <c r="A148" s="21"/>
    </row>
    <row r="149" ht="15.75" customHeight="1">
      <c r="A149" s="21"/>
    </row>
    <row r="150" ht="15.75" customHeight="1">
      <c r="A150" s="21"/>
    </row>
    <row r="151" ht="15.75" customHeight="1">
      <c r="A151" s="21"/>
    </row>
    <row r="152" ht="15.75" customHeight="1">
      <c r="A152" s="21"/>
    </row>
    <row r="153" ht="15.75" customHeight="1">
      <c r="A153" s="21"/>
    </row>
    <row r="154" ht="15.75" customHeight="1">
      <c r="A154" s="21"/>
    </row>
    <row r="155" ht="15.75" customHeight="1">
      <c r="A155" s="21"/>
    </row>
    <row r="156" ht="15.75" customHeight="1">
      <c r="A156" s="21"/>
    </row>
    <row r="157" ht="15.75" customHeight="1">
      <c r="A157" s="21"/>
    </row>
    <row r="158" ht="15.75" customHeight="1">
      <c r="A158" s="21"/>
    </row>
    <row r="159" ht="15.75" customHeight="1">
      <c r="A159" s="21"/>
    </row>
    <row r="160" ht="15.75" customHeight="1">
      <c r="A160" s="21"/>
    </row>
    <row r="161" ht="15.75" customHeight="1">
      <c r="A161" s="21"/>
    </row>
    <row r="162" ht="15.75" customHeight="1">
      <c r="A162" s="21"/>
    </row>
    <row r="163" ht="15.75" customHeight="1">
      <c r="A163" s="21"/>
    </row>
    <row r="164" ht="15.75" customHeight="1">
      <c r="A164" s="21"/>
    </row>
    <row r="165" ht="15.75" customHeight="1">
      <c r="A165" s="21"/>
    </row>
    <row r="166" ht="15.75" customHeight="1">
      <c r="A166" s="21"/>
    </row>
    <row r="167" ht="15.75" customHeight="1">
      <c r="A167" s="21"/>
    </row>
    <row r="168" ht="15.75" customHeight="1">
      <c r="A168" s="21"/>
    </row>
    <row r="169" ht="15.75" customHeight="1">
      <c r="A169" s="21"/>
    </row>
    <row r="170" ht="15.75" customHeight="1">
      <c r="A170" s="21"/>
    </row>
    <row r="171" ht="15.75" customHeight="1">
      <c r="A171" s="21"/>
    </row>
    <row r="172" ht="15.75" customHeight="1">
      <c r="A172" s="21"/>
    </row>
    <row r="173" ht="15.75" customHeight="1">
      <c r="A173" s="21"/>
    </row>
    <row r="174" ht="15.75" customHeight="1">
      <c r="A174" s="21"/>
    </row>
    <row r="175" ht="15.75" customHeight="1">
      <c r="A175" s="21"/>
    </row>
    <row r="176" ht="15.75" customHeight="1">
      <c r="A176" s="21"/>
    </row>
    <row r="177" ht="15.75" customHeight="1">
      <c r="A177" s="21"/>
    </row>
    <row r="178" ht="15.75" customHeight="1">
      <c r="A178" s="21"/>
    </row>
    <row r="179" ht="15.75" customHeight="1">
      <c r="A179" s="21"/>
    </row>
    <row r="180" ht="15.75" customHeight="1">
      <c r="A180" s="21"/>
    </row>
    <row r="181" ht="15.75" customHeight="1">
      <c r="A181" s="21"/>
    </row>
    <row r="182" ht="15.75" customHeight="1">
      <c r="A182" s="21"/>
    </row>
    <row r="183" ht="15.75" customHeight="1">
      <c r="A183" s="21"/>
    </row>
    <row r="184" ht="15.75" customHeight="1">
      <c r="A184" s="21"/>
    </row>
    <row r="185" ht="15.75" customHeight="1">
      <c r="A185" s="21"/>
    </row>
    <row r="186" ht="15.75" customHeight="1">
      <c r="A186" s="21"/>
    </row>
    <row r="187" ht="15.75" customHeight="1">
      <c r="A187" s="21"/>
    </row>
    <row r="188" ht="15.75" customHeight="1">
      <c r="A188" s="21"/>
    </row>
    <row r="189" ht="15.75" customHeight="1">
      <c r="A189" s="21"/>
    </row>
    <row r="190" ht="15.75" customHeight="1">
      <c r="A190" s="21"/>
    </row>
    <row r="191" ht="15.75" customHeight="1">
      <c r="A191" s="21"/>
    </row>
    <row r="192" ht="15.75" customHeight="1">
      <c r="A192" s="21"/>
    </row>
    <row r="193" ht="15.75" customHeight="1">
      <c r="A193" s="21"/>
    </row>
    <row r="194" ht="15.75" customHeight="1">
      <c r="A194" s="21"/>
    </row>
    <row r="195" ht="15.75" customHeight="1">
      <c r="A195" s="21"/>
    </row>
    <row r="196" ht="15.75" customHeight="1">
      <c r="A196" s="21"/>
    </row>
    <row r="197" ht="15.75" customHeight="1">
      <c r="A197" s="21"/>
    </row>
    <row r="198" ht="15.75" customHeight="1">
      <c r="A198" s="21"/>
    </row>
    <row r="199" ht="15.75" customHeight="1">
      <c r="A199" s="21"/>
    </row>
    <row r="200" ht="15.75" customHeight="1">
      <c r="A200" s="21"/>
    </row>
    <row r="201" ht="15.75" customHeight="1">
      <c r="A201" s="21"/>
    </row>
    <row r="202" ht="15.75" customHeight="1">
      <c r="A202" s="21"/>
    </row>
    <row r="203" ht="15.75" customHeight="1">
      <c r="A203" s="21"/>
    </row>
    <row r="204" ht="15.75" customHeight="1">
      <c r="A204" s="21"/>
    </row>
    <row r="205" ht="15.75" customHeight="1">
      <c r="A205" s="21"/>
    </row>
    <row r="206" ht="15.75" customHeight="1">
      <c r="A206" s="21"/>
    </row>
    <row r="207" ht="15.75" customHeight="1">
      <c r="A207" s="21"/>
    </row>
    <row r="208" ht="15.75" customHeight="1">
      <c r="A208" s="21"/>
    </row>
    <row r="209" ht="15.75" customHeight="1">
      <c r="A209" s="21"/>
    </row>
    <row r="210" ht="15.75" customHeight="1">
      <c r="A210" s="21"/>
    </row>
    <row r="211" ht="15.75" customHeight="1">
      <c r="A211" s="21"/>
    </row>
    <row r="212" ht="15.75" customHeight="1">
      <c r="A212" s="21"/>
    </row>
    <row r="213" ht="15.75" customHeight="1">
      <c r="A213" s="21"/>
    </row>
    <row r="214" ht="15.75" customHeight="1">
      <c r="A214" s="21"/>
    </row>
    <row r="215" ht="15.75" customHeight="1">
      <c r="A215" s="21"/>
    </row>
    <row r="216" ht="15.75" customHeight="1">
      <c r="A216" s="21"/>
    </row>
    <row r="217" ht="15.75" customHeight="1">
      <c r="A217" s="21"/>
    </row>
    <row r="218" ht="15.75" customHeight="1">
      <c r="A218" s="21"/>
    </row>
    <row r="219" ht="15.75" customHeight="1">
      <c r="A219" s="21"/>
    </row>
    <row r="220" ht="15.75" customHeight="1">
      <c r="A220" s="21"/>
    </row>
    <row r="221" ht="15.75" customHeight="1">
      <c r="A221" s="21"/>
    </row>
    <row r="222" ht="15.75" customHeight="1">
      <c r="A222" s="21"/>
    </row>
    <row r="223" ht="15.75" customHeight="1">
      <c r="A223" s="21"/>
    </row>
    <row r="224" ht="15.75" customHeight="1">
      <c r="A224" s="21"/>
    </row>
    <row r="225" ht="15.75" customHeight="1">
      <c r="A225" s="21"/>
    </row>
    <row r="226" ht="15.75" customHeight="1">
      <c r="A226" s="21"/>
    </row>
    <row r="227" ht="15.75" customHeight="1">
      <c r="A227" s="21"/>
    </row>
    <row r="228" ht="15.75" customHeight="1">
      <c r="A228" s="21"/>
    </row>
    <row r="229" ht="15.75" customHeight="1">
      <c r="A229" s="21"/>
    </row>
    <row r="230" ht="15.75" customHeight="1">
      <c r="A230" s="21"/>
    </row>
    <row r="231" ht="15.75" customHeight="1">
      <c r="A231" s="21"/>
    </row>
    <row r="232" ht="15.75" customHeight="1">
      <c r="A232" s="21"/>
    </row>
    <row r="233" ht="15.75" customHeight="1">
      <c r="A233" s="21"/>
    </row>
    <row r="234" ht="15.75" customHeight="1">
      <c r="A234" s="21"/>
    </row>
    <row r="235" ht="15.75" customHeight="1">
      <c r="A235" s="21"/>
    </row>
    <row r="236" ht="15.75" customHeight="1">
      <c r="A236" s="21"/>
    </row>
    <row r="237" ht="15.75" customHeight="1">
      <c r="A237" s="21"/>
    </row>
    <row r="238" ht="15.75" customHeight="1">
      <c r="A238" s="21"/>
    </row>
    <row r="239" ht="15.75" customHeight="1">
      <c r="A239" s="2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2">
    <mergeCell ref="B1:K1"/>
    <mergeCell ref="M2:M3"/>
  </mergeCells>
  <printOptions/>
  <pageMargins bottom="0.787401575" footer="0.0" header="0.0" left="0.511811024" right="0.511811024" top="0.7874015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3.25"/>
  </cols>
  <sheetData>
    <row r="2">
      <c r="A2" s="24" t="s">
        <v>56</v>
      </c>
      <c r="B2" s="25"/>
      <c r="C2" s="25"/>
      <c r="D2" s="25"/>
      <c r="E2" s="25"/>
      <c r="F2" s="26">
        <v>12.0</v>
      </c>
      <c r="G2" s="26">
        <v>12.0</v>
      </c>
      <c r="H2" s="26">
        <v>62.5</v>
      </c>
      <c r="I2" s="26">
        <v>71.53</v>
      </c>
      <c r="J2" s="26" t="s">
        <v>57</v>
      </c>
    </row>
    <row r="3">
      <c r="A3" s="27">
        <v>2.0</v>
      </c>
      <c r="B3" s="28"/>
      <c r="C3" s="24" t="s">
        <v>58</v>
      </c>
      <c r="D3" s="29"/>
      <c r="E3" s="29"/>
      <c r="F3" s="29"/>
      <c r="G3" s="29"/>
      <c r="H3" s="27">
        <v>16.0</v>
      </c>
      <c r="I3" s="27">
        <v>16.0</v>
      </c>
      <c r="J3" s="27">
        <v>50.0</v>
      </c>
      <c r="K3" s="27">
        <v>74.65</v>
      </c>
      <c r="L3" s="27" t="s">
        <v>57</v>
      </c>
    </row>
    <row r="4">
      <c r="A4" s="26">
        <v>3.0</v>
      </c>
      <c r="B4" s="28"/>
      <c r="C4" s="24" t="s">
        <v>59</v>
      </c>
      <c r="D4" s="25"/>
      <c r="E4" s="25"/>
      <c r="F4" s="25"/>
      <c r="G4" s="25"/>
      <c r="H4" s="26">
        <v>0.0</v>
      </c>
      <c r="I4" s="26">
        <v>0.0</v>
      </c>
      <c r="J4" s="26">
        <v>100.0</v>
      </c>
      <c r="K4" s="26">
        <v>94.1</v>
      </c>
      <c r="L4" s="26" t="s">
        <v>57</v>
      </c>
    </row>
    <row r="5">
      <c r="A5" s="27">
        <v>4.0</v>
      </c>
      <c r="B5" s="28"/>
      <c r="C5" s="24" t="s">
        <v>60</v>
      </c>
      <c r="D5" s="29"/>
      <c r="E5" s="29"/>
      <c r="F5" s="29"/>
      <c r="G5" s="29"/>
      <c r="H5" s="27">
        <v>0.0</v>
      </c>
      <c r="I5" s="27">
        <v>0.0</v>
      </c>
      <c r="J5" s="27">
        <v>100.0</v>
      </c>
      <c r="K5" s="27">
        <v>99.65</v>
      </c>
      <c r="L5" s="27" t="s">
        <v>57</v>
      </c>
    </row>
    <row r="6">
      <c r="A6" s="26">
        <v>5.0</v>
      </c>
      <c r="B6" s="28"/>
      <c r="C6" s="24" t="s">
        <v>61</v>
      </c>
      <c r="D6" s="25"/>
      <c r="E6" s="25"/>
      <c r="F6" s="25"/>
      <c r="G6" s="25"/>
      <c r="H6" s="26">
        <v>0.0</v>
      </c>
      <c r="I6" s="26">
        <v>0.0</v>
      </c>
      <c r="J6" s="26">
        <v>100.0</v>
      </c>
      <c r="K6" s="26">
        <v>99.65</v>
      </c>
      <c r="L6" s="26" t="s">
        <v>57</v>
      </c>
    </row>
    <row r="7">
      <c r="A7" s="27">
        <v>6.0</v>
      </c>
      <c r="B7" s="28"/>
      <c r="C7" s="24" t="s">
        <v>62</v>
      </c>
      <c r="D7" s="29"/>
      <c r="E7" s="29"/>
      <c r="F7" s="29"/>
      <c r="G7" s="29"/>
      <c r="H7" s="27">
        <v>0.0</v>
      </c>
      <c r="I7" s="27">
        <v>0.0</v>
      </c>
      <c r="J7" s="27">
        <v>100.0</v>
      </c>
      <c r="K7" s="27">
        <v>95.49</v>
      </c>
      <c r="L7" s="27" t="s">
        <v>57</v>
      </c>
    </row>
    <row r="8">
      <c r="A8" s="26">
        <v>7.0</v>
      </c>
      <c r="B8" s="28"/>
      <c r="C8" s="24" t="s">
        <v>63</v>
      </c>
      <c r="D8" s="25"/>
      <c r="E8" s="25"/>
      <c r="F8" s="25"/>
      <c r="G8" s="25"/>
      <c r="H8" s="26">
        <v>4.0</v>
      </c>
      <c r="I8" s="26">
        <v>4.0</v>
      </c>
      <c r="J8" s="26">
        <v>87.5</v>
      </c>
      <c r="K8" s="26">
        <v>93.06</v>
      </c>
      <c r="L8" s="26" t="s">
        <v>57</v>
      </c>
    </row>
    <row r="9">
      <c r="A9" s="27">
        <v>8.0</v>
      </c>
      <c r="B9" s="28"/>
      <c r="C9" s="24" t="s">
        <v>64</v>
      </c>
      <c r="D9" s="29"/>
      <c r="E9" s="29"/>
      <c r="F9" s="29"/>
      <c r="G9" s="29"/>
      <c r="H9" s="27">
        <v>1.0</v>
      </c>
      <c r="I9" s="27">
        <v>1.0</v>
      </c>
      <c r="J9" s="27">
        <v>96.88</v>
      </c>
      <c r="K9" s="27">
        <v>96.18</v>
      </c>
      <c r="L9" s="27" t="s">
        <v>57</v>
      </c>
    </row>
    <row r="10">
      <c r="A10" s="26">
        <v>9.0</v>
      </c>
      <c r="B10" s="28"/>
      <c r="C10" s="24" t="s">
        <v>65</v>
      </c>
      <c r="D10" s="25"/>
      <c r="E10" s="25"/>
      <c r="F10" s="25"/>
      <c r="G10" s="25"/>
      <c r="H10" s="26">
        <v>16.0</v>
      </c>
      <c r="I10" s="26">
        <v>16.0</v>
      </c>
      <c r="J10" s="26">
        <v>50.0</v>
      </c>
      <c r="K10" s="26">
        <v>83.68</v>
      </c>
      <c r="L10" s="26" t="s">
        <v>57</v>
      </c>
    </row>
    <row r="11">
      <c r="A11" s="27">
        <v>10.0</v>
      </c>
      <c r="B11" s="28"/>
      <c r="C11" s="24" t="s">
        <v>66</v>
      </c>
      <c r="D11" s="29"/>
      <c r="E11" s="29"/>
      <c r="F11" s="29"/>
      <c r="G11" s="29"/>
      <c r="H11" s="27">
        <v>0.0</v>
      </c>
      <c r="I11" s="27">
        <v>0.0</v>
      </c>
      <c r="J11" s="27">
        <v>100.0</v>
      </c>
      <c r="K11" s="27">
        <v>95.83</v>
      </c>
      <c r="L11" s="27" t="s">
        <v>57</v>
      </c>
    </row>
    <row r="12">
      <c r="A12" s="26">
        <v>11.0</v>
      </c>
      <c r="B12" s="28"/>
      <c r="C12" s="24" t="s">
        <v>67</v>
      </c>
      <c r="D12" s="25"/>
      <c r="E12" s="25"/>
      <c r="F12" s="25"/>
      <c r="G12" s="25"/>
      <c r="H12" s="26">
        <v>8.0</v>
      </c>
      <c r="I12" s="26">
        <v>8.0</v>
      </c>
      <c r="J12" s="26">
        <v>75.0</v>
      </c>
      <c r="K12" s="26">
        <v>93.75</v>
      </c>
      <c r="L12" s="26" t="s">
        <v>57</v>
      </c>
    </row>
    <row r="13">
      <c r="A13" s="27">
        <v>12.0</v>
      </c>
      <c r="B13" s="28"/>
      <c r="C13" s="24" t="s">
        <v>68</v>
      </c>
      <c r="D13" s="29"/>
      <c r="E13" s="29"/>
      <c r="F13" s="29"/>
      <c r="G13" s="29"/>
      <c r="H13" s="27">
        <v>16.0</v>
      </c>
      <c r="I13" s="27">
        <v>16.0</v>
      </c>
      <c r="J13" s="27">
        <v>50.0</v>
      </c>
      <c r="K13" s="27">
        <v>84.72</v>
      </c>
      <c r="L13" s="27" t="s">
        <v>57</v>
      </c>
    </row>
    <row r="14">
      <c r="A14" s="26">
        <v>13.0</v>
      </c>
      <c r="B14" s="28"/>
      <c r="C14" s="24" t="s">
        <v>69</v>
      </c>
      <c r="D14" s="25"/>
      <c r="E14" s="25"/>
      <c r="F14" s="25"/>
      <c r="G14" s="25"/>
      <c r="H14" s="26">
        <v>8.0</v>
      </c>
      <c r="I14" s="26">
        <v>8.0</v>
      </c>
      <c r="J14" s="26">
        <v>75.0</v>
      </c>
      <c r="K14" s="26">
        <v>77.78</v>
      </c>
      <c r="L14" s="26" t="s">
        <v>57</v>
      </c>
    </row>
    <row r="15">
      <c r="A15" s="27">
        <v>14.0</v>
      </c>
      <c r="B15" s="28"/>
      <c r="C15" s="24" t="s">
        <v>70</v>
      </c>
      <c r="D15" s="29"/>
      <c r="E15" s="29"/>
      <c r="F15" s="29"/>
      <c r="G15" s="29"/>
      <c r="H15" s="27">
        <v>11.0</v>
      </c>
      <c r="I15" s="27">
        <v>11.0</v>
      </c>
      <c r="J15" s="27">
        <v>65.63</v>
      </c>
      <c r="K15" s="27">
        <v>88.54</v>
      </c>
      <c r="L15" s="27" t="s">
        <v>57</v>
      </c>
    </row>
    <row r="16">
      <c r="A16" s="26">
        <v>15.0</v>
      </c>
      <c r="B16" s="28"/>
      <c r="C16" s="24" t="s">
        <v>71</v>
      </c>
      <c r="D16" s="25"/>
      <c r="E16" s="25"/>
      <c r="F16" s="25"/>
      <c r="G16" s="25"/>
      <c r="H16" s="26">
        <v>11.0</v>
      </c>
      <c r="I16" s="26">
        <v>11.0</v>
      </c>
      <c r="J16" s="26">
        <v>65.63</v>
      </c>
      <c r="K16" s="26">
        <v>92.71</v>
      </c>
      <c r="L16" s="26" t="s">
        <v>57</v>
      </c>
    </row>
    <row r="17">
      <c r="A17" s="27">
        <v>16.0</v>
      </c>
      <c r="B17" s="28"/>
      <c r="C17" s="24" t="s">
        <v>72</v>
      </c>
      <c r="D17" s="29"/>
      <c r="E17" s="29"/>
      <c r="F17" s="29"/>
      <c r="G17" s="29"/>
      <c r="H17" s="27">
        <v>0.0</v>
      </c>
      <c r="I17" s="27">
        <v>0.0</v>
      </c>
      <c r="J17" s="27">
        <v>100.0</v>
      </c>
      <c r="K17" s="27">
        <v>95.83</v>
      </c>
      <c r="L17" s="27" t="s">
        <v>57</v>
      </c>
    </row>
    <row r="18">
      <c r="A18" s="26">
        <v>17.0</v>
      </c>
      <c r="B18" s="28"/>
      <c r="C18" s="24" t="s">
        <v>73</v>
      </c>
      <c r="D18" s="25"/>
      <c r="E18" s="25"/>
      <c r="F18" s="25"/>
      <c r="G18" s="25"/>
      <c r="H18" s="26">
        <v>2.0</v>
      </c>
      <c r="I18" s="26">
        <v>2.0</v>
      </c>
      <c r="J18" s="26">
        <v>93.75</v>
      </c>
      <c r="K18" s="26">
        <v>96.88</v>
      </c>
      <c r="L18" s="26" t="s">
        <v>57</v>
      </c>
    </row>
    <row r="19">
      <c r="A19" s="27">
        <v>18.0</v>
      </c>
      <c r="B19" s="28"/>
      <c r="C19" s="24" t="s">
        <v>74</v>
      </c>
      <c r="D19" s="29"/>
      <c r="E19" s="29"/>
      <c r="F19" s="29"/>
      <c r="G19" s="29"/>
      <c r="H19" s="27">
        <v>0.0</v>
      </c>
      <c r="I19" s="27">
        <v>0.0</v>
      </c>
      <c r="J19" s="27">
        <v>100.0</v>
      </c>
      <c r="K19" s="27">
        <v>99.65</v>
      </c>
      <c r="L19" s="27" t="s">
        <v>57</v>
      </c>
    </row>
    <row r="20">
      <c r="A20" s="26">
        <v>19.0</v>
      </c>
      <c r="B20" s="28"/>
      <c r="C20" s="24" t="s">
        <v>75</v>
      </c>
      <c r="D20" s="25"/>
      <c r="E20" s="25"/>
      <c r="F20" s="25"/>
      <c r="G20" s="25"/>
      <c r="H20" s="26">
        <v>0.0</v>
      </c>
      <c r="I20" s="26">
        <v>0.0</v>
      </c>
      <c r="J20" s="26">
        <v>100.0</v>
      </c>
      <c r="K20" s="26">
        <v>95.49</v>
      </c>
      <c r="L20" s="26" t="s">
        <v>57</v>
      </c>
    </row>
    <row r="21">
      <c r="A21" s="27">
        <v>20.0</v>
      </c>
      <c r="B21" s="28"/>
      <c r="C21" s="24" t="s">
        <v>76</v>
      </c>
      <c r="D21" s="29"/>
      <c r="E21" s="29"/>
      <c r="F21" s="29"/>
      <c r="G21" s="29"/>
      <c r="H21" s="27">
        <v>2.0</v>
      </c>
      <c r="I21" s="27">
        <v>2.0</v>
      </c>
      <c r="J21" s="27">
        <v>93.75</v>
      </c>
      <c r="K21" s="27">
        <v>96.18</v>
      </c>
      <c r="L21" s="27" t="s">
        <v>57</v>
      </c>
    </row>
    <row r="22">
      <c r="A22" s="26">
        <v>21.0</v>
      </c>
      <c r="B22" s="28"/>
      <c r="C22" s="24" t="s">
        <v>77</v>
      </c>
      <c r="D22" s="25"/>
      <c r="E22" s="25"/>
      <c r="F22" s="25"/>
      <c r="G22" s="25"/>
      <c r="H22" s="26">
        <v>0.0</v>
      </c>
      <c r="I22" s="26">
        <v>0.0</v>
      </c>
      <c r="J22" s="26">
        <v>100.0</v>
      </c>
      <c r="K22" s="26">
        <v>99.65</v>
      </c>
      <c r="L22" s="26" t="s">
        <v>57</v>
      </c>
    </row>
    <row r="23">
      <c r="A23" s="27">
        <v>22.0</v>
      </c>
      <c r="B23" s="28"/>
      <c r="C23" s="24" t="s">
        <v>78</v>
      </c>
      <c r="D23" s="29"/>
      <c r="E23" s="29"/>
      <c r="F23" s="29"/>
      <c r="G23" s="29"/>
      <c r="H23" s="27">
        <v>0.0</v>
      </c>
      <c r="I23" s="27">
        <v>0.0</v>
      </c>
      <c r="J23" s="27">
        <v>100.0</v>
      </c>
      <c r="K23" s="27">
        <v>95.49</v>
      </c>
      <c r="L23" s="27" t="s">
        <v>57</v>
      </c>
    </row>
    <row r="24">
      <c r="A24" s="26">
        <v>23.0</v>
      </c>
      <c r="B24" s="28"/>
      <c r="C24" s="24" t="s">
        <v>79</v>
      </c>
      <c r="D24" s="25"/>
      <c r="E24" s="25"/>
      <c r="F24" s="25"/>
      <c r="G24" s="25"/>
      <c r="H24" s="26">
        <v>2.0</v>
      </c>
      <c r="I24" s="26">
        <v>2.0</v>
      </c>
      <c r="J24" s="26">
        <v>93.75</v>
      </c>
      <c r="K24" s="26">
        <v>97.22</v>
      </c>
      <c r="L24" s="26" t="s">
        <v>57</v>
      </c>
    </row>
    <row r="25">
      <c r="A25" s="27">
        <v>24.0</v>
      </c>
      <c r="B25" s="28"/>
      <c r="C25" s="24" t="s">
        <v>80</v>
      </c>
      <c r="D25" s="29"/>
      <c r="E25" s="29"/>
      <c r="F25" s="29"/>
      <c r="G25" s="29"/>
      <c r="H25" s="27">
        <v>8.0</v>
      </c>
      <c r="I25" s="27">
        <v>8.0</v>
      </c>
      <c r="J25" s="27">
        <v>75.0</v>
      </c>
      <c r="K25" s="27">
        <v>89.93</v>
      </c>
      <c r="L25" s="27" t="s">
        <v>57</v>
      </c>
    </row>
    <row r="26">
      <c r="A26" s="26">
        <v>25.0</v>
      </c>
      <c r="B26" s="28"/>
      <c r="C26" s="24" t="s">
        <v>81</v>
      </c>
      <c r="D26" s="25"/>
      <c r="E26" s="25"/>
      <c r="F26" s="25"/>
      <c r="G26" s="25"/>
      <c r="H26" s="26">
        <v>0.0</v>
      </c>
      <c r="I26" s="26">
        <v>0.0</v>
      </c>
      <c r="J26" s="26">
        <v>100.0</v>
      </c>
      <c r="K26" s="26">
        <v>95.14</v>
      </c>
      <c r="L26" s="26" t="s">
        <v>57</v>
      </c>
    </row>
    <row r="27">
      <c r="A27" s="27">
        <v>26.0</v>
      </c>
      <c r="B27" s="28"/>
      <c r="C27" s="24" t="s">
        <v>82</v>
      </c>
      <c r="D27" s="29"/>
      <c r="E27" s="29"/>
      <c r="F27" s="29"/>
      <c r="G27" s="29"/>
      <c r="H27" s="27">
        <v>0.0</v>
      </c>
      <c r="I27" s="27">
        <v>0.0</v>
      </c>
      <c r="J27" s="27">
        <v>100.0</v>
      </c>
      <c r="K27" s="27">
        <v>95.49</v>
      </c>
      <c r="L27" s="27" t="s">
        <v>57</v>
      </c>
    </row>
    <row r="28">
      <c r="A28" s="26">
        <v>27.0</v>
      </c>
      <c r="B28" s="28"/>
      <c r="C28" s="24" t="s">
        <v>83</v>
      </c>
      <c r="D28" s="25"/>
      <c r="E28" s="25"/>
      <c r="F28" s="25"/>
      <c r="G28" s="25"/>
      <c r="H28" s="26">
        <v>0.0</v>
      </c>
      <c r="I28" s="26">
        <v>0.0</v>
      </c>
      <c r="J28" s="26">
        <v>100.0</v>
      </c>
      <c r="K28" s="26">
        <v>99.65</v>
      </c>
      <c r="L28" s="26" t="s">
        <v>57</v>
      </c>
    </row>
    <row r="29">
      <c r="A29" s="27">
        <v>28.0</v>
      </c>
      <c r="B29" s="28"/>
      <c r="C29" s="24" t="s">
        <v>84</v>
      </c>
      <c r="D29" s="29"/>
      <c r="E29" s="29"/>
      <c r="F29" s="29"/>
      <c r="G29" s="29"/>
      <c r="H29" s="27">
        <v>0.0</v>
      </c>
      <c r="I29" s="27">
        <v>0.0</v>
      </c>
      <c r="J29" s="27">
        <v>100.0</v>
      </c>
      <c r="K29" s="27">
        <v>95.49</v>
      </c>
      <c r="L29" s="27" t="s">
        <v>57</v>
      </c>
    </row>
    <row r="30">
      <c r="A30" s="26">
        <v>29.0</v>
      </c>
      <c r="B30" s="28"/>
      <c r="C30" s="24" t="s">
        <v>85</v>
      </c>
      <c r="D30" s="25"/>
      <c r="E30" s="25"/>
      <c r="F30" s="25"/>
      <c r="G30" s="25"/>
      <c r="H30" s="26">
        <v>0.0</v>
      </c>
      <c r="I30" s="26">
        <v>0.0</v>
      </c>
      <c r="J30" s="26">
        <v>100.0</v>
      </c>
      <c r="K30" s="26">
        <v>82.99</v>
      </c>
      <c r="L30" s="26" t="s">
        <v>57</v>
      </c>
    </row>
    <row r="31">
      <c r="A31" s="27">
        <v>30.0</v>
      </c>
      <c r="B31" s="28"/>
      <c r="C31" s="24" t="s">
        <v>86</v>
      </c>
      <c r="D31" s="29"/>
      <c r="E31" s="29"/>
      <c r="F31" s="29"/>
      <c r="G31" s="29"/>
      <c r="H31" s="27">
        <v>0.0</v>
      </c>
      <c r="I31" s="27">
        <v>0.0</v>
      </c>
      <c r="J31" s="27">
        <v>100.0</v>
      </c>
      <c r="K31" s="27">
        <v>96.88</v>
      </c>
      <c r="L31" s="27" t="s">
        <v>57</v>
      </c>
    </row>
    <row r="32">
      <c r="A32" s="26">
        <v>31.0</v>
      </c>
      <c r="B32" s="28"/>
      <c r="C32" s="30" t="s">
        <v>87</v>
      </c>
      <c r="D32" s="25"/>
      <c r="E32" s="25"/>
      <c r="F32" s="25"/>
      <c r="G32" s="25"/>
      <c r="H32" s="26">
        <v>0.0</v>
      </c>
      <c r="I32" s="26">
        <v>0.0</v>
      </c>
      <c r="J32" s="26">
        <v>100.0</v>
      </c>
      <c r="K32" s="26">
        <v>96.88</v>
      </c>
      <c r="L32" s="26" t="s">
        <v>57</v>
      </c>
    </row>
    <row r="33">
      <c r="A33" s="27">
        <v>32.0</v>
      </c>
      <c r="B33" s="28"/>
      <c r="C33" s="24" t="s">
        <v>88</v>
      </c>
      <c r="D33" s="29"/>
      <c r="E33" s="29"/>
      <c r="F33" s="29"/>
      <c r="G33" s="29"/>
      <c r="H33" s="27">
        <v>0.0</v>
      </c>
      <c r="I33" s="27">
        <v>0.0</v>
      </c>
      <c r="J33" s="27">
        <v>100.0</v>
      </c>
      <c r="K33" s="27">
        <v>88.19</v>
      </c>
      <c r="L33" s="27" t="s">
        <v>57</v>
      </c>
    </row>
    <row r="34">
      <c r="A34" s="26">
        <v>33.0</v>
      </c>
      <c r="B34" s="28"/>
      <c r="C34" s="24" t="s">
        <v>89</v>
      </c>
      <c r="D34" s="25"/>
      <c r="E34" s="25"/>
      <c r="F34" s="25"/>
      <c r="G34" s="25"/>
      <c r="H34" s="26">
        <v>0.0</v>
      </c>
      <c r="I34" s="26">
        <v>0.0</v>
      </c>
      <c r="J34" s="26">
        <v>100.0</v>
      </c>
      <c r="K34" s="26">
        <v>100.0</v>
      </c>
      <c r="L34" s="26" t="s">
        <v>57</v>
      </c>
    </row>
    <row r="35">
      <c r="A35" s="27">
        <v>34.0</v>
      </c>
      <c r="B35" s="28"/>
      <c r="C35" s="24" t="s">
        <v>90</v>
      </c>
      <c r="D35" s="29"/>
      <c r="E35" s="29"/>
      <c r="F35" s="29"/>
      <c r="G35" s="29"/>
      <c r="H35" s="27">
        <v>1.0</v>
      </c>
      <c r="I35" s="27">
        <v>1.0</v>
      </c>
      <c r="J35" s="27">
        <v>96.88</v>
      </c>
      <c r="K35" s="27">
        <v>98.96</v>
      </c>
      <c r="L35" s="27" t="s">
        <v>57</v>
      </c>
    </row>
    <row r="36">
      <c r="A36" s="26">
        <v>35.0</v>
      </c>
      <c r="B36" s="28"/>
      <c r="C36" s="24" t="s">
        <v>91</v>
      </c>
      <c r="D36" s="25"/>
      <c r="E36" s="25"/>
      <c r="F36" s="25"/>
      <c r="G36" s="25"/>
      <c r="H36" s="26">
        <v>0.0</v>
      </c>
      <c r="I36" s="26">
        <v>0.0</v>
      </c>
      <c r="J36" s="26">
        <v>100.0</v>
      </c>
      <c r="K36" s="26">
        <v>93.4</v>
      </c>
      <c r="L36" s="26" t="s">
        <v>57</v>
      </c>
    </row>
    <row r="37">
      <c r="A37" s="27">
        <v>36.0</v>
      </c>
      <c r="B37" s="28"/>
      <c r="C37" s="24" t="s">
        <v>92</v>
      </c>
    </row>
  </sheetData>
  <hyperlinks>
    <hyperlink r:id="rId1" ref="A2"/>
    <hyperlink r:id="rId2" ref="B3"/>
    <hyperlink r:id="rId3" ref="C3"/>
    <hyperlink r:id="rId4" ref="B4"/>
    <hyperlink r:id="rId5" ref="C4"/>
    <hyperlink r:id="rId6" ref="B5"/>
    <hyperlink r:id="rId7" ref="C5"/>
    <hyperlink r:id="rId8" ref="B6"/>
    <hyperlink r:id="rId9" ref="C6"/>
    <hyperlink r:id="rId10" ref="B7"/>
    <hyperlink r:id="rId11" ref="C7"/>
    <hyperlink r:id="rId12" ref="B8"/>
    <hyperlink r:id="rId13" ref="C8"/>
    <hyperlink r:id="rId14" ref="B9"/>
    <hyperlink r:id="rId15" ref="C9"/>
    <hyperlink r:id="rId16" ref="B10"/>
    <hyperlink r:id="rId17" ref="C10"/>
    <hyperlink r:id="rId18" ref="B11"/>
    <hyperlink r:id="rId19" ref="C11"/>
    <hyperlink r:id="rId20" ref="B12"/>
    <hyperlink r:id="rId21" ref="C12"/>
    <hyperlink r:id="rId22" ref="B13"/>
    <hyperlink r:id="rId23" ref="C13"/>
    <hyperlink r:id="rId24" ref="B14"/>
    <hyperlink r:id="rId25" ref="C14"/>
    <hyperlink r:id="rId26" ref="B15"/>
    <hyperlink r:id="rId27" ref="C15"/>
    <hyperlink r:id="rId28" ref="B16"/>
    <hyperlink r:id="rId29" ref="C16"/>
    <hyperlink r:id="rId30" ref="B17"/>
    <hyperlink r:id="rId31" ref="C17"/>
    <hyperlink r:id="rId32" ref="B18"/>
    <hyperlink r:id="rId33" ref="C18"/>
    <hyperlink r:id="rId34" ref="B19"/>
    <hyperlink r:id="rId35" ref="C19"/>
    <hyperlink r:id="rId36" ref="B20"/>
    <hyperlink r:id="rId37" ref="C20"/>
    <hyperlink r:id="rId38" ref="B21"/>
    <hyperlink r:id="rId39" ref="C21"/>
    <hyperlink r:id="rId40" ref="B22"/>
    <hyperlink r:id="rId41" ref="C22"/>
    <hyperlink r:id="rId42" ref="B23"/>
    <hyperlink r:id="rId43" ref="C23"/>
    <hyperlink r:id="rId44" ref="B24"/>
    <hyperlink r:id="rId45" ref="C24"/>
    <hyperlink r:id="rId46" ref="B25"/>
    <hyperlink r:id="rId47" ref="C25"/>
    <hyperlink r:id="rId48" ref="B26"/>
    <hyperlink r:id="rId49" ref="C26"/>
    <hyperlink r:id="rId50" ref="B27"/>
    <hyperlink r:id="rId51" ref="C27"/>
    <hyperlink r:id="rId52" ref="B28"/>
    <hyperlink r:id="rId53" ref="C28"/>
    <hyperlink r:id="rId54" ref="B29"/>
    <hyperlink r:id="rId55" ref="C29"/>
    <hyperlink r:id="rId56" ref="B30"/>
    <hyperlink r:id="rId57" ref="C30"/>
    <hyperlink r:id="rId58" ref="B31"/>
    <hyperlink r:id="rId59" ref="C31"/>
    <hyperlink r:id="rId60" ref="B32"/>
    <hyperlink r:id="rId61" ref="C32"/>
    <hyperlink r:id="rId62" ref="B33"/>
    <hyperlink r:id="rId63" ref="C33"/>
    <hyperlink r:id="rId64" ref="B34"/>
    <hyperlink r:id="rId65" ref="C34"/>
    <hyperlink r:id="rId66" ref="B35"/>
    <hyperlink r:id="rId67" ref="C35"/>
    <hyperlink r:id="rId68" ref="B36"/>
    <hyperlink r:id="rId69" ref="C36"/>
    <hyperlink r:id="rId70" ref="B37"/>
    <hyperlink r:id="rId71" ref="C37"/>
  </hyperlinks>
  <drawing r:id="rId72"/>
</worksheet>
</file>